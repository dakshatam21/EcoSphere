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C:\Users\daksh\Downloads\"/>
    </mc:Choice>
  </mc:AlternateContent>
  <xr:revisionPtr revIDLastSave="0" documentId="13_ncr:1_{8F3A653B-872A-4D94-ABAE-A0208B2E4CA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0_Scorecard" sheetId="1" r:id="rId1"/>
    <sheet name="Instructions" sheetId="2" r:id="rId2"/>
    <sheet name="1_Generation_Inventory" sheetId="3" r:id="rId3"/>
    <sheet name="2_Collection_Log" sheetId="4" r:id="rId4"/>
    <sheet name="3_Recycling_Infrastructure" sheetId="5" r:id="rId5"/>
    <sheet name="4_Compliance_Tracker" sheetId="6" r:id="rId6"/>
    <sheet name="5_Informal_Sector_Hotspots" sheetId="7" r:id="rId7"/>
    <sheet name="6_Env_Health_Monitoring" sheetId="8" r:id="rId8"/>
    <sheet name="7_Awareness_Programs" sheetId="9" r:id="rId9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9" i="9" l="1"/>
  <c r="C28" i="9"/>
  <c r="C27" i="9"/>
  <c r="C29" i="8"/>
  <c r="C28" i="8"/>
  <c r="C27" i="8"/>
  <c r="G15" i="1" s="1"/>
  <c r="H15" i="1" s="1"/>
  <c r="C30" i="7"/>
  <c r="C29" i="7"/>
  <c r="C28" i="7"/>
  <c r="C27" i="7"/>
  <c r="C32" i="6"/>
  <c r="C31" i="6"/>
  <c r="C30" i="6"/>
  <c r="C29" i="6"/>
  <c r="C28" i="6"/>
  <c r="C27" i="6"/>
  <c r="G13" i="1" s="1"/>
  <c r="H13" i="1" s="1"/>
  <c r="F27" i="5"/>
  <c r="E27" i="5"/>
  <c r="D27" i="5"/>
  <c r="I26" i="3"/>
  <c r="H26" i="3"/>
  <c r="D17" i="1"/>
  <c r="G16" i="1"/>
  <c r="H16" i="1" s="1"/>
  <c r="G14" i="1"/>
  <c r="H14" i="1" s="1"/>
  <c r="G10" i="1"/>
  <c r="H10" i="1" s="1"/>
  <c r="J26" i="3" l="1"/>
  <c r="G11" i="1"/>
  <c r="H11" i="1" s="1"/>
  <c r="G12" i="1" l="1"/>
  <c r="H12" i="1" s="1"/>
  <c r="H17" i="1" s="1"/>
  <c r="D5" i="1" l="1"/>
  <c r="F5" i="1"/>
</calcChain>
</file>

<file path=xl/sharedStrings.xml><?xml version="1.0" encoding="utf-8"?>
<sst xmlns="http://schemas.openxmlformats.org/spreadsheetml/2006/main" count="758" uniqueCount="374">
  <si>
    <t>State E-Waste Management Scorecard</t>
  </si>
  <si>
    <t>Live score out of 100, calculated from the 7 data sheets. Set benchmarks in the yellow 'Target/Benchmark' cells.</t>
  </si>
  <si>
    <t>STATE SCORE</t>
  </si>
  <si>
    <t>#</t>
  </si>
  <si>
    <t>Category</t>
  </si>
  <si>
    <t>Weight</t>
  </si>
  <si>
    <t>Benchmark / Target</t>
  </si>
  <si>
    <t>Achieved Value</t>
  </si>
  <si>
    <t>Achievement %</t>
  </si>
  <si>
    <t>Score Earned</t>
  </si>
  <si>
    <t>Generation &amp; Inventory</t>
  </si>
  <si>
    <t>Collection Performance</t>
  </si>
  <si>
    <t>Formal Recycling &amp; Treatment</t>
  </si>
  <si>
    <t>Regulatory Compliance</t>
  </si>
  <si>
    <t>Informal Sector Integration</t>
  </si>
  <si>
    <t>Environmental &amp; Health Safeguards</t>
  </si>
  <si>
    <t>Awareness &amp; Outreach</t>
  </si>
  <si>
    <t>TOTAL SCORE</t>
  </si>
  <si>
    <t>Score Bands:</t>
  </si>
  <si>
    <t>85-100</t>
  </si>
  <si>
    <t>Excellent</t>
  </si>
  <si>
    <t>65-84</t>
  </si>
  <si>
    <t>Good</t>
  </si>
  <si>
    <t>45-64</t>
  </si>
  <si>
    <t>Needs Improvement</t>
  </si>
  <si>
    <t>0-44</t>
  </si>
  <si>
    <t>Critical</t>
  </si>
  <si>
    <t>State E-Waste Management Tracker - Scoring Methodology</t>
  </si>
  <si>
    <t>A 100-point scorecard for monitoring state-level e-waste generation, collection, formal treatment, compliance, and health/environmental safeguards, in line with the E-Waste (Management) Rules, 2022 (CPCB, India).</t>
  </si>
  <si>
    <t>Indicators (data source sheet)</t>
  </si>
  <si>
    <t>District reporting completeness; category-wise breakup; annual inventory update  -&gt;  '1_Generation_Inventory'</t>
  </si>
  <si>
    <t>Collection rate (%); collection centers per million population; EPR collection-target achievement  -&gt;  '2_Collection_Log'</t>
  </si>
  <si>
    <t>% processed by authorized recyclers; installed capacity vs generation; material recovery rate  -&gt;  '3_Recycling_Infrastructure'</t>
  </si>
  <si>
    <t>% producers/EPR entities compliant; inspections conducted vs planned; penalties resolved  -&gt;  '4_Compliance_Tracker'</t>
  </si>
  <si>
    <t>% hotspots formalized/remediated; % informal workers registered/trained  -&gt;  '5_Informal_Sector_Hotspots'</t>
  </si>
  <si>
    <t>% hotspots environmentally monitored; health screening camps conducted  -&gt;  '6_Env_Health_Monitoring'</t>
  </si>
  <si>
    <t>Awareness campaigns vs target; collection drives vs target  -&gt;  '7_Awareness_Programs'</t>
  </si>
  <si>
    <t>TOTAL</t>
  </si>
  <si>
    <t>How to use this workbook</t>
  </si>
  <si>
    <t>- Enter data in the 7 numbered sheets (yellow cells = your input). Each sheet has one grey example row - replace/delete it.</t>
  </si>
  <si>
    <t>- Set your benchmarks/targets on the '0_Scorecard' sheet (yellow cells) - e.g. collection centers per million population, EPR targets, inspection/campaign targets.</t>
  </si>
  <si>
    <t>- The '0_Scorecard' sheet pulls live figures from all 7 sheets and computes the state's score out of 100 automatically. Do not overwrite formula cells.</t>
  </si>
  <si>
    <t>- Score bands (customisable on Scorecard): 85-100 Excellent | 65-84 Good | 45-64 Needs Improvement | Below 45 Critical.</t>
  </si>
  <si>
    <t>- Re-run this tracker every quarter/year to monitor trend - copy the Scorecard total into a tracking log for year-on-year comparison.</t>
  </si>
  <si>
    <t>Generation Inventory</t>
  </si>
  <si>
    <t>One row per district. Category-wise breakup based on E-Waste (Management) Rules, 2022, Schedule I (simplified).</t>
  </si>
  <si>
    <t>District</t>
  </si>
  <si>
    <t>Population</t>
  </si>
  <si>
    <t>IT &amp; Telecom (kg)</t>
  </si>
  <si>
    <t>Consumer Electrical &amp; Electronics (kg)</t>
  </si>
  <si>
    <t>Large &amp; Small Equipment (kg)</t>
  </si>
  <si>
    <t>Lighting Equipment (kg)</t>
  </si>
  <si>
    <t>Batteries (kg)</t>
  </si>
  <si>
    <t>Other (kg)</t>
  </si>
  <si>
    <t>Total Generated (kg)</t>
  </si>
  <si>
    <t>Date Last Updated</t>
  </si>
  <si>
    <t>Jaipur</t>
  </si>
  <si>
    <t>Jodhpur</t>
  </si>
  <si>
    <t>Alwar</t>
  </si>
  <si>
    <t>Udaipur</t>
  </si>
  <si>
    <t>Kota</t>
  </si>
  <si>
    <t>Ajmer</t>
  </si>
  <si>
    <t>Bikaner</t>
  </si>
  <si>
    <t>Bhilwara</t>
  </si>
  <si>
    <t>Bharatpur</t>
  </si>
  <si>
    <t>Sikar</t>
  </si>
  <si>
    <t>Pali</t>
  </si>
  <si>
    <t>Nagaur</t>
  </si>
  <si>
    <t>Churu</t>
  </si>
  <si>
    <t>Barmer</t>
  </si>
  <si>
    <t>Jhalawar</t>
  </si>
  <si>
    <t>Bundi</t>
  </si>
  <si>
    <t>Hanumangarh</t>
  </si>
  <si>
    <t>Dausa</t>
  </si>
  <si>
    <t>Rajsamand</t>
  </si>
  <si>
    <t>Tonk</t>
  </si>
  <si>
    <t>Collection Log</t>
  </si>
  <si>
    <t>One row per district. 'Generated' auto-pulls from Sheet 1 by district name - keep district names identical across sheets.</t>
  </si>
  <si>
    <t>Generated (kg) [from Sheet 1]</t>
  </si>
  <si>
    <t>Collected (kg)</t>
  </si>
  <si>
    <t>Registered Collection Centers</t>
  </si>
  <si>
    <t>EPR Collection Target (kg)</t>
  </si>
  <si>
    <t>EPR Collection Achieved (kg)</t>
  </si>
  <si>
    <t>Remarks</t>
  </si>
  <si>
    <t>Highest collection through 18 authorized centers</t>
  </si>
  <si>
    <t>Strong municipal and producer collection network</t>
  </si>
  <si>
    <t>Industrial area with active formal collection</t>
  </si>
  <si>
    <t>Tourism city with regular collection drives</t>
  </si>
  <si>
    <t>Collection through educational institutions</t>
  </si>
  <si>
    <t>Municipal collection supported by EPR</t>
  </si>
  <si>
    <t>Moderate formal collection coverage</t>
  </si>
  <si>
    <t>Textile industries support collection</t>
  </si>
  <si>
    <t>Collection improving through authorized agencies</t>
  </si>
  <si>
    <t>Growing urban collection infrastructure</t>
  </si>
  <si>
    <t>Collection through local authorized centers</t>
  </si>
  <si>
    <t>Large district with moderate formal collection</t>
  </si>
  <si>
    <t>District-level collection through EPR partners</t>
  </si>
  <si>
    <t>Collection from urban local bodies</t>
  </si>
  <si>
    <t>Moderate collection efficiency</t>
  </si>
  <si>
    <t>Limited but organized collection</t>
  </si>
  <si>
    <t>Collection through registered centers</t>
  </si>
  <si>
    <t>Regular collection under awareness programs</t>
  </si>
  <si>
    <t>Collection linked with nearby recycler</t>
  </si>
  <si>
    <t>Collection improving through municipal initiatives</t>
  </si>
  <si>
    <t>Recycling Infrastructure</t>
  </si>
  <si>
    <t>One row per CPCB/SPCB-authorized recycler or dismantler operating in the state.</t>
  </si>
  <si>
    <t>Recycler / Dismantler Name</t>
  </si>
  <si>
    <t>CPCB/SPCB Authorization No.</t>
  </si>
  <si>
    <t>Installed Capacity (tonnes/yr)</t>
  </si>
  <si>
    <t>Quantity Processed This Year (tonnes)</t>
  </si>
  <si>
    <t>Material Recovery Rate (%)</t>
  </si>
  <si>
    <t>Authorization Valid Till</t>
  </si>
  <si>
    <t>ETCO E-Waste Recycler Pvt. Ltd.</t>
  </si>
  <si>
    <t>CPCB/RSPCB/RJ/ETCO-001</t>
  </si>
  <si>
    <t>Adatte E-Waste Management Pvt. Ltd.</t>
  </si>
  <si>
    <t>CPCB/RSPCB/RJ/ADT-002</t>
  </si>
  <si>
    <t>GS International</t>
  </si>
  <si>
    <t>CPCB/RSPCB/RJ/GSI-003</t>
  </si>
  <si>
    <t>Urban Metals</t>
  </si>
  <si>
    <t>CPCB/RSPCB/RJ/UM-004</t>
  </si>
  <si>
    <t>Shukla E-Waste Processor</t>
  </si>
  <si>
    <t>CPCB/RSPCB/RJ/SWP-005</t>
  </si>
  <si>
    <t>Khairthal-Tijara</t>
  </si>
  <si>
    <t>SAS Tech Energy Pvt. Ltd.</t>
  </si>
  <si>
    <t>CPCB/RSPCB/RJ/SAS-006</t>
  </si>
  <si>
    <t>Marss Recycler Pvt. Ltd.</t>
  </si>
  <si>
    <t>CPCB/RSPCB/RJ/MAR-007</t>
  </si>
  <si>
    <t>Greenscape Eco Management Pvt. Ltd.</t>
  </si>
  <si>
    <t>CPCB/RSPCB/RJ/GEM-008</t>
  </si>
  <si>
    <t>Tanwar Traders</t>
  </si>
  <si>
    <t>CPCB/RSPCB/RJ/TAN-009</t>
  </si>
  <si>
    <t>H.M. E-Waste Management</t>
  </si>
  <si>
    <t>CPCB/RSPCB/RJ/HM-010</t>
  </si>
  <si>
    <t>Eco Vision Recyclers</t>
  </si>
  <si>
    <t>CPCB/RSPCB/RJ/EVR-011</t>
  </si>
  <si>
    <t>Green Earth Recycling</t>
  </si>
  <si>
    <t>CPCB/RSPCB/RJ/GER-012</t>
  </si>
  <si>
    <t>Raj Eco Waste Solutions</t>
  </si>
  <si>
    <t>CPCB/RSPCB/RJ/REW-013</t>
  </si>
  <si>
    <t>Eco Metal Recovery</t>
  </si>
  <si>
    <t>CPCB/RSPCB/RJ/EMR-014</t>
  </si>
  <si>
    <t>Royal Recyclers</t>
  </si>
  <si>
    <t>CPCB/RSPCB/RJ/RR-015</t>
  </si>
  <si>
    <t>Western India E-Waste</t>
  </si>
  <si>
    <t>CPCB/RSPCB/RJ/WIE-016</t>
  </si>
  <si>
    <t>Future Green Recycling</t>
  </si>
  <si>
    <t>CPCB/RSPCB/RJ/FGR-017</t>
  </si>
  <si>
    <t>Aravali E-Waste Management</t>
  </si>
  <si>
    <t>CPCB/RSPCB/RJ/AEW-018</t>
  </si>
  <si>
    <t>Sustainable Recycling Pvt. Ltd.</t>
  </si>
  <si>
    <t>CPCB/RSPCB/RJ/SRP-019</t>
  </si>
  <si>
    <t>Eco Circle Reprocessors</t>
  </si>
  <si>
    <t>CPCB/RSPCB/RJ/ECR-020</t>
  </si>
  <si>
    <t>STATE TOTAL</t>
  </si>
  <si>
    <t>Compliance Tracker</t>
  </si>
  <si>
    <t>One row per registered producer / EPR entity operating in the state.</t>
  </si>
  <si>
    <t>Producer / EPR Entity</t>
  </si>
  <si>
    <t>EPR Registration No.</t>
  </si>
  <si>
    <t>Compliance Status</t>
  </si>
  <si>
    <t>Inspection Planned (Y/N)</t>
  </si>
  <si>
    <t>Inspection Conducted (Y/N)</t>
  </si>
  <si>
    <t>Penalty / Show-Cause Issued (Y/N)</t>
  </si>
  <si>
    <t>Penalty Resolved (Y/N)</t>
  </si>
  <si>
    <t>EPR/RJ/2026/001</t>
  </si>
  <si>
    <t>Compliant</t>
  </si>
  <si>
    <t>Yes</t>
  </si>
  <si>
    <t>No</t>
  </si>
  <si>
    <t>N/A</t>
  </si>
  <si>
    <t>Annual EPR target achieved (98%)</t>
  </si>
  <si>
    <t>Integratedmobi Tech Pvt. Ltd.</t>
  </si>
  <si>
    <t>EPR/RJ/2026/002</t>
  </si>
  <si>
    <t>Collection targets met through authorized recyclers</t>
  </si>
  <si>
    <t>Allied Electronics &amp; Magnetics Ltd.</t>
  </si>
  <si>
    <t>EPR/RJ/2026/003</t>
  </si>
  <si>
    <t>Annual return submitted on time</t>
  </si>
  <si>
    <t>ITG Software Engineering India Pvt. Ltd.</t>
  </si>
  <si>
    <t>EPR/RJ/2026/004</t>
  </si>
  <si>
    <t>EPR obligations fulfilled</t>
  </si>
  <si>
    <t>Lipi Data Systems Ltd.</t>
  </si>
  <si>
    <t>EPR/RJ/2026/005</t>
  </si>
  <si>
    <t>Collection network operational</t>
  </si>
  <si>
    <t>Greenlet Recyclers Pvt. Ltd.</t>
  </si>
  <si>
    <t>EPR/RJ/2026/006</t>
  </si>
  <si>
    <t>Partially Compliant</t>
  </si>
  <si>
    <t>Minor documentation delay resolved</t>
  </si>
  <si>
    <t>Pragya Global Pvt. Ltd.</t>
  </si>
  <si>
    <t>EPR/RJ/2026/007</t>
  </si>
  <si>
    <t>Targets achieved through EPR portal</t>
  </si>
  <si>
    <t>Kumbhat International</t>
  </si>
  <si>
    <t>EPR/RJ/2026/008</t>
  </si>
  <si>
    <t>Inspection completed successfully</t>
  </si>
  <si>
    <t>Toshita International LLP</t>
  </si>
  <si>
    <t>EPR/RJ/2026/009</t>
  </si>
  <si>
    <t>No compliance observations</t>
  </si>
  <si>
    <t>EPR/RJ/2026/010</t>
  </si>
  <si>
    <t>Authorized refurbishment activities verified</t>
  </si>
  <si>
    <t>Texmaco Rail &amp; Engineering Ltd.</t>
  </si>
  <si>
    <t>EPR/RJ/2026/011</t>
  </si>
  <si>
    <t>EPR records maintained properly</t>
  </si>
  <si>
    <t>R. K. Impex</t>
  </si>
  <si>
    <t>EPR/RJ/2026/012</t>
  </si>
  <si>
    <t>Additional documentation submitted</t>
  </si>
  <si>
    <t>Jiya Impex</t>
  </si>
  <si>
    <t>EPR/RJ/2026/013</t>
  </si>
  <si>
    <t>Annual compliance completed</t>
  </si>
  <si>
    <t>ETCO Collection Division</t>
  </si>
  <si>
    <t>EPR/RJ/2026/014</t>
  </si>
  <si>
    <t>Collection targets exceeded</t>
  </si>
  <si>
    <t>Integratedmobi Service Centre</t>
  </si>
  <si>
    <t>EPR/RJ/2026/015</t>
  </si>
  <si>
    <t>Inspection satisfactory</t>
  </si>
  <si>
    <t>Allied Electronics Service Division</t>
  </si>
  <si>
    <t>EPR/RJ/2026/016</t>
  </si>
  <si>
    <t>No violations reported</t>
  </si>
  <si>
    <t>Greenlet Collection Services</t>
  </si>
  <si>
    <t>EPR/RJ/2026/017</t>
  </si>
  <si>
    <t>Corrective action completed</t>
  </si>
  <si>
    <t>Pragya Global Electronics</t>
  </si>
  <si>
    <t>EPR/RJ/2026/018</t>
  </si>
  <si>
    <t>Regular EPR reporting maintained</t>
  </si>
  <si>
    <t>Lipi Data Recovery Unit</t>
  </si>
  <si>
    <t>EPR/RJ/2026/019</t>
  </si>
  <si>
    <t>Collection performance satisfactory</t>
  </si>
  <si>
    <t>Greenscape Repair Division</t>
  </si>
  <si>
    <t>EPR/RJ/2026/020</t>
  </si>
  <si>
    <t>Fully compliant with EPR requirements</t>
  </si>
  <si>
    <t>Total Registered</t>
  </si>
  <si>
    <t>Inspections Planned</t>
  </si>
  <si>
    <t>Inspections Conducted</t>
  </si>
  <si>
    <t>Penalties Issued</t>
  </si>
  <si>
    <t>Penalties Resolved</t>
  </si>
  <si>
    <t>Informal Sector Hotspots</t>
  </si>
  <si>
    <t>One row per known informal e-waste recycling hotspot/cluster in the state.</t>
  </si>
  <si>
    <t>Hotspot / Informal Cluster Name</t>
  </si>
  <si>
    <t>Status</t>
  </si>
  <si>
    <t>Estimated Informal Workers</t>
  </si>
  <si>
    <t>Workers Registered / Trained</t>
  </si>
  <si>
    <t>Formalization Action Taken</t>
  </si>
  <si>
    <t>Jhotwara Scrap Market</t>
  </si>
  <si>
    <t>Partially Formalized</t>
  </si>
  <si>
    <t>Worker training and registration under RSPCB awareness program</t>
  </si>
  <si>
    <t>Ongoing formalization</t>
  </si>
  <si>
    <t>Sanganer Scrap Cluster</t>
  </si>
  <si>
    <t>Collection through authorized aggregators</t>
  </si>
  <si>
    <t>Monitoring in progress</t>
  </si>
  <si>
    <t>Transport Nagar Scrap Market</t>
  </si>
  <si>
    <t>Informal</t>
  </si>
  <si>
    <t>Awareness and registration initiated</t>
  </si>
  <si>
    <t>Needs further integration</t>
  </si>
  <si>
    <t>Basni Industrial Scrap Area</t>
  </si>
  <si>
    <t>Collection linked with authorized recycler</t>
  </si>
  <si>
    <t>Improving compliance</t>
  </si>
  <si>
    <t>Soorsagar Scrap Cluster</t>
  </si>
  <si>
    <t>Survey conducted</t>
  </si>
  <si>
    <t>Formalization planned</t>
  </si>
  <si>
    <t>RIICO Industrial Area</t>
  </si>
  <si>
    <t>Worker training completed</t>
  </si>
  <si>
    <t>Collection improving</t>
  </si>
  <si>
    <t>Bhiwadi Scrap Market</t>
  </si>
  <si>
    <t>Collection centre established</t>
  </si>
  <si>
    <t>Regular monitoring</t>
  </si>
  <si>
    <t>Madri Industrial Area</t>
  </si>
  <si>
    <t>Workers registered under skill program</t>
  </si>
  <si>
    <t>Compliance improving</t>
  </si>
  <si>
    <t>Sukher Scrap Cluster</t>
  </si>
  <si>
    <t>Initial survey completed</t>
  </si>
  <si>
    <t>Needs awareness programs</t>
  </si>
  <si>
    <t>Kota Industrial Area</t>
  </si>
  <si>
    <t>Authorized collection initiated</t>
  </si>
  <si>
    <t>Collection increasing</t>
  </si>
  <si>
    <t>Ajmer Scrap Market</t>
  </si>
  <si>
    <t>Training workshops conducted</t>
  </si>
  <si>
    <t>Periodic inspections</t>
  </si>
  <si>
    <t>Bikaner Scrap Yard</t>
  </si>
  <si>
    <t>Awareness campaign organized</t>
  </si>
  <si>
    <t>Low registration rate</t>
  </si>
  <si>
    <t>Bhilwara Industrial Area</t>
  </si>
  <si>
    <t>Collection linked to recycler</t>
  </si>
  <si>
    <t>Monitoring ongoing</t>
  </si>
  <si>
    <t>Pali Industrial Area</t>
  </si>
  <si>
    <t>Worker registration started</t>
  </si>
  <si>
    <t>Gradual improvement</t>
  </si>
  <si>
    <t>Sikar Scrap Market</t>
  </si>
  <si>
    <t>Identification completed</t>
  </si>
  <si>
    <t>Needs formal collection centre</t>
  </si>
  <si>
    <t>Nagaur Scrap Cluster</t>
  </si>
  <si>
    <t>Survey under progress</t>
  </si>
  <si>
    <t>Unorganized sector dominant</t>
  </si>
  <si>
    <t>Barmer Scrap Market</t>
  </si>
  <si>
    <t>Local authority engagement initiated</t>
  </si>
  <si>
    <t>Limited formal collection</t>
  </si>
  <si>
    <t>Bharatpur Scrap Yard</t>
  </si>
  <si>
    <t>Training and awareness completed</t>
  </si>
  <si>
    <t>Registration increasing</t>
  </si>
  <si>
    <t>Hanumangarh Scrap Cluster</t>
  </si>
  <si>
    <t>Initial mapping completed</t>
  </si>
  <si>
    <t>Formalization pending</t>
  </si>
  <si>
    <t>Tonk Scrap Market</t>
  </si>
  <si>
    <t>Awareness campaign conducted</t>
  </si>
  <si>
    <t>Requires additional support</t>
  </si>
  <si>
    <t>Total Hotspots</t>
  </si>
  <si>
    <t>Formalized/Remediated</t>
  </si>
  <si>
    <t>Estimated Workers (Total)</t>
  </si>
  <si>
    <t>Workers Registered/Trained (Total)</t>
  </si>
  <si>
    <t>Env Health Monitoring</t>
  </si>
  <si>
    <t>One row per environmental monitoring visit or health camp conducted at a hotspot.</t>
  </si>
  <si>
    <t>Site / Hotspot Monitored</t>
  </si>
  <si>
    <t>Monitoring Type</t>
  </si>
  <si>
    <t>Date</t>
  </si>
  <si>
    <t>Result</t>
  </si>
  <si>
    <t>Health Camp Conducted (Y/N)</t>
  </si>
  <si>
    <t>Beneficiaries Screened</t>
  </si>
  <si>
    <t>Soil + Water</t>
  </si>
  <si>
    <t>Within Permissible Limit</t>
  </si>
  <si>
    <t>Periodic monitoring completed</t>
  </si>
  <si>
    <t>Soil</t>
  </si>
  <si>
    <t>Slightly Elevated Pb</t>
  </si>
  <si>
    <t>Awareness and remediation advised</t>
  </si>
  <si>
    <t>Air + Soil</t>
  </si>
  <si>
    <t>No major environmental concern</t>
  </si>
  <si>
    <t>Elevated Pb &amp; Cd</t>
  </si>
  <si>
    <t>Remediation plan initiated</t>
  </si>
  <si>
    <t>Follow-up monitoring scheduled</t>
  </si>
  <si>
    <t>Air + Water</t>
  </si>
  <si>
    <t>Regular inspection completed</t>
  </si>
  <si>
    <t>Slightly Elevated Heavy Metals</t>
  </si>
  <si>
    <t>Additional sampling recommended</t>
  </si>
  <si>
    <t>No significant contamination observed</t>
  </si>
  <si>
    <t>Water</t>
  </si>
  <si>
    <t>Monitoring continued</t>
  </si>
  <si>
    <t>Slightly Elevated Dust Levels</t>
  </si>
  <si>
    <t>Dust suppression measures advised</t>
  </si>
  <si>
    <t>Periodic inspection completed</t>
  </si>
  <si>
    <t>Next inspection due</t>
  </si>
  <si>
    <t>Water quality improvement advised</t>
  </si>
  <si>
    <t>No major health concern</t>
  </si>
  <si>
    <t>Monitoring record updated</t>
  </si>
  <si>
    <t>Slightly Elevated Cd</t>
  </si>
  <si>
    <t>Awareness session conducted</t>
  </si>
  <si>
    <t>Air</t>
  </si>
  <si>
    <t>Routine inspection completed</t>
  </si>
  <si>
    <t>Environmental conditions satisfactory</t>
  </si>
  <si>
    <t>Water samples within standards</t>
  </si>
  <si>
    <t>Monitoring report submitted</t>
  </si>
  <si>
    <t>Distinct Sites Monitored</t>
  </si>
  <si>
    <t>Health Camps Conducted</t>
  </si>
  <si>
    <t>Total Beneficiaries Screened</t>
  </si>
  <si>
    <t>Awareness Programs</t>
  </si>
  <si>
    <t>One row per awareness campaign, take-back scheme promotion, or collection drive conducted.</t>
  </si>
  <si>
    <t>Program Name</t>
  </si>
  <si>
    <t>Type</t>
  </si>
  <si>
    <t>Target Audience</t>
  </si>
  <si>
    <t>Participants Reached</t>
  </si>
  <si>
    <t>Periodic monitoring completed; no significant contamination observed</t>
  </si>
  <si>
    <t>Worker awareness and remediation measures initiated</t>
  </si>
  <si>
    <t>Air quality within standards</t>
  </si>
  <si>
    <t>Basni Industrial Area</t>
  </si>
  <si>
    <t>Remediation plan submitted to RSPCB</t>
  </si>
  <si>
    <t>Routine environmental inspection completed</t>
  </si>
  <si>
    <t>No major environmental concern observed</t>
  </si>
  <si>
    <t>Water quality satisfactory</t>
  </si>
  <si>
    <t>Dust control measures implemented</t>
  </si>
  <si>
    <t>Next monitoring visit planned</t>
  </si>
  <si>
    <t>Water treatment advisory issued</t>
  </si>
  <si>
    <t>No corrective action required</t>
  </si>
  <si>
    <t>Environmental status satisfactory</t>
  </si>
  <si>
    <t>Periodic monitoring to continue</t>
  </si>
  <si>
    <t>No environmental violations detected</t>
  </si>
  <si>
    <t>Health awareness session conducted</t>
  </si>
  <si>
    <t>Water quality within permissible limits</t>
  </si>
  <si>
    <t>Monitoring completed successfully</t>
  </si>
  <si>
    <t>Total Programs Conducted</t>
  </si>
  <si>
    <t>Collection Drives (School+RWA)</t>
  </si>
  <si>
    <t>Total Participants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</si>
</sst>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0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404040"/>
      <name val="Arial"/>
      <charset val="1"/>
    </font>
    <font>
      <b/>
      <sz val="12"/>
      <color rgb="FFFFFFFF"/>
      <name val="Arial"/>
      <charset val="1"/>
    </font>
    <font>
      <b/>
      <sz val="28"/>
      <color rgb="FF1F4E78"/>
      <name val="Arial"/>
      <charset val="1"/>
    </font>
    <font>
      <b/>
      <sz val="14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1"/>
      <color rgb="FF1F4E78"/>
      <name val="Arial"/>
      <charset val="1"/>
    </font>
    <font>
      <sz val="1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FFF99"/>
        <bgColor rgb="FFF2F2F2"/>
      </patternFill>
    </fill>
    <fill>
      <patternFill patternType="solid">
        <fgColor rgb="FFFFFFFF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6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vertical="center" wrapText="1"/>
    </xf>
    <xf numFmtId="0" fontId="0" fillId="5" borderId="1" xfId="0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0" fontId="0" fillId="3" borderId="1" xfId="0" applyFill="1" applyBorder="1"/>
    <xf numFmtId="0" fontId="7" fillId="3" borderId="1" xfId="0" applyFont="1" applyFill="1" applyBorder="1"/>
    <xf numFmtId="0" fontId="8" fillId="0" borderId="0" xfId="0" applyFont="1"/>
    <xf numFmtId="0" fontId="9" fillId="0" borderId="0" xfId="0" applyFont="1"/>
    <xf numFmtId="0" fontId="7" fillId="0" borderId="1" xfId="0" applyFont="1" applyBorder="1"/>
    <xf numFmtId="0" fontId="9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165" fontId="9" fillId="5" borderId="1" xfId="0" applyNumberFormat="1" applyFont="1" applyFill="1" applyBorder="1" applyAlignment="1">
      <alignment horizontal="center" vertical="center" wrapText="1"/>
    </xf>
    <xf numFmtId="165" fontId="7" fillId="3" borderId="1" xfId="0" applyNumberFormat="1" applyFont="1" applyFill="1" applyBorder="1"/>
    <xf numFmtId="14" fontId="9" fillId="5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3"/>
  <sheetViews>
    <sheetView showGridLines="0" tabSelected="1" zoomScaleNormal="100" workbookViewId="0">
      <selection activeCell="F11" sqref="F11"/>
    </sheetView>
  </sheetViews>
  <sheetFormatPr defaultColWidth="8.7109375" defaultRowHeight="14.45"/>
  <cols>
    <col min="1" max="1" width="3" customWidth="1"/>
    <col min="2" max="2" width="6" customWidth="1"/>
    <col min="3" max="3" width="30" customWidth="1"/>
    <col min="4" max="4" width="10" customWidth="1"/>
    <col min="5" max="6" width="16" customWidth="1"/>
    <col min="7" max="7" width="14" customWidth="1"/>
    <col min="8" max="8" width="13" customWidth="1"/>
    <col min="9" max="9" width="10" customWidth="1"/>
  </cols>
  <sheetData>
    <row r="2" spans="1:9" ht="25.5" customHeight="1">
      <c r="A2" s="19" t="s">
        <v>0</v>
      </c>
      <c r="B2" s="19"/>
      <c r="C2" s="19"/>
      <c r="D2" s="19"/>
      <c r="E2" s="19"/>
      <c r="F2" s="19"/>
      <c r="G2" s="19"/>
      <c r="H2" s="19"/>
    </row>
    <row r="3" spans="1:9">
      <c r="B3" s="26" t="s">
        <v>1</v>
      </c>
      <c r="C3" s="26"/>
      <c r="D3" s="26"/>
      <c r="E3" s="26"/>
      <c r="F3" s="26"/>
      <c r="G3" s="26"/>
      <c r="H3" s="26"/>
      <c r="I3" s="26"/>
    </row>
    <row r="5" spans="1:9">
      <c r="B5" s="20" t="s">
        <v>2</v>
      </c>
      <c r="C5" s="20"/>
      <c r="D5" s="21">
        <f>ROUND(H17,1)</f>
        <v>85.6</v>
      </c>
      <c r="E5" s="21"/>
      <c r="F5" s="22" t="str">
        <f>_xlfn.IFS(H17&gt;=85,"EXCELLENT",H17&gt;=65,"GOOD",H17&gt;=45,"NEEDS IMPROVEMENT",TRUE(),"CRITICAL")</f>
        <v>EXCELLENT</v>
      </c>
      <c r="G5" s="22"/>
      <c r="H5" s="22"/>
      <c r="I5" s="22"/>
    </row>
    <row r="6" spans="1:9">
      <c r="B6" s="20"/>
      <c r="C6" s="20"/>
      <c r="D6" s="21"/>
      <c r="E6" s="21"/>
      <c r="F6" s="22"/>
      <c r="G6" s="22"/>
      <c r="H6" s="22"/>
      <c r="I6" s="22"/>
    </row>
    <row r="7" spans="1:9">
      <c r="B7" s="20"/>
      <c r="C7" s="20"/>
      <c r="D7" s="21"/>
      <c r="E7" s="21"/>
      <c r="F7" s="22"/>
      <c r="G7" s="22"/>
      <c r="H7" s="22"/>
      <c r="I7" s="22"/>
    </row>
    <row r="9" spans="1:9" ht="30" customHeight="1">
      <c r="B9" s="1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1" t="s">
        <v>8</v>
      </c>
      <c r="H9" s="1" t="s">
        <v>9</v>
      </c>
    </row>
    <row r="10" spans="1:9" ht="30" customHeight="1">
      <c r="B10" s="2">
        <v>1</v>
      </c>
      <c r="C10" s="3" t="s">
        <v>10</v>
      </c>
      <c r="D10" s="2">
        <v>15</v>
      </c>
      <c r="E10" s="4">
        <v>5</v>
      </c>
      <c r="F10" s="2">
        <v>5</v>
      </c>
      <c r="G10" s="5">
        <f t="shared" ref="G10:G16" si="0">IFERROR(MIN(F10/E10,1),0)</f>
        <v>1</v>
      </c>
      <c r="H10" s="6">
        <f t="shared" ref="H10:H16" si="1">ROUND(G10*D10,1)</f>
        <v>15</v>
      </c>
    </row>
    <row r="11" spans="1:9" ht="30" customHeight="1">
      <c r="B11" s="2">
        <v>2</v>
      </c>
      <c r="C11" s="3" t="s">
        <v>11</v>
      </c>
      <c r="D11" s="2">
        <v>20</v>
      </c>
      <c r="E11" s="7">
        <v>1</v>
      </c>
      <c r="F11" s="5">
        <v>0.76500000000000001</v>
      </c>
      <c r="G11" s="5">
        <f t="shared" si="0"/>
        <v>0.76500000000000001</v>
      </c>
      <c r="H11" s="6">
        <f t="shared" si="1"/>
        <v>15.3</v>
      </c>
    </row>
    <row r="12" spans="1:9" ht="30" customHeight="1">
      <c r="B12" s="2">
        <v>3</v>
      </c>
      <c r="C12" s="3" t="s">
        <v>12</v>
      </c>
      <c r="D12" s="2">
        <v>20</v>
      </c>
      <c r="E12" s="7">
        <v>1</v>
      </c>
      <c r="F12" s="5">
        <v>0.94</v>
      </c>
      <c r="G12" s="5">
        <f t="shared" si="0"/>
        <v>0.94</v>
      </c>
      <c r="H12" s="6">
        <f t="shared" si="1"/>
        <v>18.8</v>
      </c>
    </row>
    <row r="13" spans="1:9" ht="30" customHeight="1">
      <c r="B13" s="2">
        <v>4</v>
      </c>
      <c r="C13" s="3" t="s">
        <v>13</v>
      </c>
      <c r="D13" s="2">
        <v>15</v>
      </c>
      <c r="E13" s="7">
        <v>1</v>
      </c>
      <c r="F13" s="5">
        <v>0.93</v>
      </c>
      <c r="G13" s="5">
        <f t="shared" si="0"/>
        <v>0.93</v>
      </c>
      <c r="H13" s="6">
        <f t="shared" si="1"/>
        <v>14</v>
      </c>
    </row>
    <row r="14" spans="1:9" ht="30" customHeight="1">
      <c r="B14" s="2">
        <v>5</v>
      </c>
      <c r="C14" s="3" t="s">
        <v>14</v>
      </c>
      <c r="D14" s="2">
        <v>10</v>
      </c>
      <c r="E14" s="7">
        <v>1</v>
      </c>
      <c r="F14" s="5">
        <v>0.62</v>
      </c>
      <c r="G14" s="5">
        <f t="shared" si="0"/>
        <v>0.62</v>
      </c>
      <c r="H14" s="6">
        <f t="shared" si="1"/>
        <v>6.2</v>
      </c>
    </row>
    <row r="15" spans="1:9" ht="30" customHeight="1">
      <c r="B15" s="2">
        <v>6</v>
      </c>
      <c r="C15" s="3" t="s">
        <v>15</v>
      </c>
      <c r="D15" s="2">
        <v>10</v>
      </c>
      <c r="E15" s="7">
        <v>1</v>
      </c>
      <c r="F15" s="5">
        <v>0.88</v>
      </c>
      <c r="G15" s="5">
        <f t="shared" si="0"/>
        <v>0.88</v>
      </c>
      <c r="H15" s="6">
        <f t="shared" si="1"/>
        <v>8.8000000000000007</v>
      </c>
    </row>
    <row r="16" spans="1:9" ht="30" customHeight="1">
      <c r="B16" s="2">
        <v>7</v>
      </c>
      <c r="C16" s="3" t="s">
        <v>16</v>
      </c>
      <c r="D16" s="2">
        <v>10</v>
      </c>
      <c r="E16" s="4">
        <v>20</v>
      </c>
      <c r="F16" s="2">
        <v>15</v>
      </c>
      <c r="G16" s="5">
        <f t="shared" si="0"/>
        <v>0.75</v>
      </c>
      <c r="H16" s="6">
        <f t="shared" si="1"/>
        <v>7.5</v>
      </c>
    </row>
    <row r="17" spans="2:8">
      <c r="B17" s="8"/>
      <c r="C17" s="9" t="s">
        <v>17</v>
      </c>
      <c r="D17" s="9">
        <f>SUM(D10:D16)</f>
        <v>100</v>
      </c>
      <c r="E17" s="8"/>
      <c r="F17" s="8"/>
      <c r="G17" s="8"/>
      <c r="H17" s="9">
        <f>SUM(H10:H16)</f>
        <v>85.6</v>
      </c>
    </row>
    <row r="19" spans="2:8">
      <c r="B19" s="10" t="s">
        <v>18</v>
      </c>
    </row>
    <row r="20" spans="2:8">
      <c r="B20" s="11" t="s">
        <v>19</v>
      </c>
      <c r="C20" s="11" t="s">
        <v>20</v>
      </c>
    </row>
    <row r="21" spans="2:8">
      <c r="B21" s="11" t="s">
        <v>21</v>
      </c>
      <c r="C21" s="11" t="s">
        <v>22</v>
      </c>
    </row>
    <row r="22" spans="2:8">
      <c r="B22" s="11" t="s">
        <v>23</v>
      </c>
      <c r="C22" s="11" t="s">
        <v>24</v>
      </c>
    </row>
    <row r="23" spans="2:8">
      <c r="B23" s="11" t="s">
        <v>25</v>
      </c>
      <c r="C23" s="11" t="s">
        <v>26</v>
      </c>
    </row>
  </sheetData>
  <mergeCells count="5">
    <mergeCell ref="A2:H2"/>
    <mergeCell ref="B3:I3"/>
    <mergeCell ref="B5:C7"/>
    <mergeCell ref="D5:E7"/>
    <mergeCell ref="F5:I7"/>
  </mergeCells>
  <conditionalFormatting sqref="D5">
    <cfRule type="colorScale" priority="2">
      <colorScale>
        <cfvo type="num" val="0"/>
        <cfvo type="num" val="60"/>
        <cfvo type="num" val="100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21"/>
  <sheetViews>
    <sheetView showGridLines="0" zoomScaleNormal="100" workbookViewId="0"/>
  </sheetViews>
  <sheetFormatPr defaultColWidth="8.7109375" defaultRowHeight="14.45"/>
  <cols>
    <col min="1" max="1" width="3" customWidth="1"/>
    <col min="2" max="2" width="6" customWidth="1"/>
    <col min="3" max="3" width="26" customWidth="1"/>
    <col min="4" max="4" width="9" customWidth="1"/>
    <col min="5" max="8" width="16" customWidth="1"/>
  </cols>
  <sheetData>
    <row r="2" spans="1:8" ht="25.5" customHeight="1">
      <c r="A2" s="19" t="s">
        <v>27</v>
      </c>
      <c r="B2" s="19"/>
      <c r="C2" s="19"/>
      <c r="D2" s="19"/>
      <c r="E2" s="19"/>
      <c r="F2" s="19"/>
      <c r="G2" s="19"/>
    </row>
    <row r="4" spans="1:8" ht="30" customHeight="1">
      <c r="B4" s="23" t="s">
        <v>28</v>
      </c>
      <c r="C4" s="23"/>
      <c r="D4" s="23"/>
      <c r="E4" s="23"/>
      <c r="F4" s="23"/>
      <c r="G4" s="23"/>
      <c r="H4" s="23"/>
    </row>
    <row r="6" spans="1:8" ht="26.45">
      <c r="B6" s="1" t="s">
        <v>3</v>
      </c>
      <c r="C6" s="1" t="s">
        <v>4</v>
      </c>
      <c r="D6" s="1" t="s">
        <v>5</v>
      </c>
      <c r="E6" s="1" t="s">
        <v>29</v>
      </c>
    </row>
    <row r="7" spans="1:8" ht="30" customHeight="1">
      <c r="B7" s="2">
        <v>1</v>
      </c>
      <c r="C7" s="12" t="s">
        <v>10</v>
      </c>
      <c r="D7" s="2">
        <v>15</v>
      </c>
      <c r="E7" s="24" t="s">
        <v>30</v>
      </c>
      <c r="F7" s="24"/>
      <c r="G7" s="24"/>
      <c r="H7" s="24"/>
    </row>
    <row r="8" spans="1:8" ht="30" customHeight="1">
      <c r="B8" s="2">
        <v>2</v>
      </c>
      <c r="C8" s="12" t="s">
        <v>11</v>
      </c>
      <c r="D8" s="2">
        <v>20</v>
      </c>
      <c r="E8" s="24" t="s">
        <v>31</v>
      </c>
      <c r="F8" s="24"/>
      <c r="G8" s="24"/>
      <c r="H8" s="24"/>
    </row>
    <row r="9" spans="1:8" ht="30" customHeight="1">
      <c r="B9" s="2">
        <v>3</v>
      </c>
      <c r="C9" s="12" t="s">
        <v>12</v>
      </c>
      <c r="D9" s="2">
        <v>20</v>
      </c>
      <c r="E9" s="24" t="s">
        <v>32</v>
      </c>
      <c r="F9" s="24"/>
      <c r="G9" s="24"/>
      <c r="H9" s="24"/>
    </row>
    <row r="10" spans="1:8" ht="30" customHeight="1">
      <c r="B10" s="2">
        <v>4</v>
      </c>
      <c r="C10" s="12" t="s">
        <v>13</v>
      </c>
      <c r="D10" s="2">
        <v>15</v>
      </c>
      <c r="E10" s="24" t="s">
        <v>33</v>
      </c>
      <c r="F10" s="24"/>
      <c r="G10" s="24"/>
      <c r="H10" s="24"/>
    </row>
    <row r="11" spans="1:8" ht="30" customHeight="1">
      <c r="B11" s="2">
        <v>5</v>
      </c>
      <c r="C11" s="12" t="s">
        <v>14</v>
      </c>
      <c r="D11" s="2">
        <v>10</v>
      </c>
      <c r="E11" s="24" t="s">
        <v>34</v>
      </c>
      <c r="F11" s="24"/>
      <c r="G11" s="24"/>
      <c r="H11" s="24"/>
    </row>
    <row r="12" spans="1:8" ht="30" customHeight="1">
      <c r="B12" s="2">
        <v>6</v>
      </c>
      <c r="C12" s="12" t="s">
        <v>15</v>
      </c>
      <c r="D12" s="2">
        <v>10</v>
      </c>
      <c r="E12" s="24" t="s">
        <v>35</v>
      </c>
      <c r="F12" s="24"/>
      <c r="G12" s="24"/>
      <c r="H12" s="24"/>
    </row>
    <row r="13" spans="1:8" ht="30" customHeight="1">
      <c r="B13" s="2">
        <v>7</v>
      </c>
      <c r="C13" s="12" t="s">
        <v>16</v>
      </c>
      <c r="D13" s="2">
        <v>10</v>
      </c>
      <c r="E13" s="24" t="s">
        <v>36</v>
      </c>
      <c r="F13" s="24"/>
      <c r="G13" s="24"/>
      <c r="H13" s="24"/>
    </row>
    <row r="14" spans="1:8">
      <c r="B14" s="8"/>
      <c r="C14" s="9" t="s">
        <v>37</v>
      </c>
      <c r="D14" s="9">
        <v>100</v>
      </c>
      <c r="E14" s="8"/>
      <c r="F14" s="8"/>
      <c r="G14" s="8"/>
      <c r="H14" s="8"/>
    </row>
    <row r="16" spans="1:8">
      <c r="B16" s="10" t="s">
        <v>38</v>
      </c>
    </row>
    <row r="17" spans="2:8" ht="25.5" customHeight="1">
      <c r="B17" s="25" t="s">
        <v>39</v>
      </c>
      <c r="C17" s="25"/>
      <c r="D17" s="25"/>
      <c r="E17" s="25"/>
      <c r="F17" s="25"/>
      <c r="G17" s="25"/>
      <c r="H17" s="25"/>
    </row>
    <row r="18" spans="2:8" ht="25.5" customHeight="1">
      <c r="B18" s="25" t="s">
        <v>40</v>
      </c>
      <c r="C18" s="25"/>
      <c r="D18" s="25"/>
      <c r="E18" s="25"/>
      <c r="F18" s="25"/>
      <c r="G18" s="25"/>
      <c r="H18" s="25"/>
    </row>
    <row r="19" spans="2:8" ht="25.5" customHeight="1">
      <c r="B19" s="25" t="s">
        <v>41</v>
      </c>
      <c r="C19" s="25"/>
      <c r="D19" s="25"/>
      <c r="E19" s="25"/>
      <c r="F19" s="25"/>
      <c r="G19" s="25"/>
      <c r="H19" s="25"/>
    </row>
    <row r="20" spans="2:8" ht="25.5" customHeight="1">
      <c r="B20" s="25" t="s">
        <v>42</v>
      </c>
      <c r="C20" s="25"/>
      <c r="D20" s="25"/>
      <c r="E20" s="25"/>
      <c r="F20" s="25"/>
      <c r="G20" s="25"/>
      <c r="H20" s="25"/>
    </row>
    <row r="21" spans="2:8" ht="25.5" customHeight="1">
      <c r="B21" s="25" t="s">
        <v>43</v>
      </c>
      <c r="C21" s="25"/>
      <c r="D21" s="25"/>
      <c r="E21" s="25"/>
      <c r="F21" s="25"/>
      <c r="G21" s="25"/>
      <c r="H21" s="25"/>
    </row>
  </sheetData>
  <mergeCells count="14">
    <mergeCell ref="B18:H18"/>
    <mergeCell ref="B19:H19"/>
    <mergeCell ref="B20:H20"/>
    <mergeCell ref="B21:H21"/>
    <mergeCell ref="E10:H10"/>
    <mergeCell ref="E11:H11"/>
    <mergeCell ref="E12:H12"/>
    <mergeCell ref="E13:H13"/>
    <mergeCell ref="B17:H17"/>
    <mergeCell ref="A2:G2"/>
    <mergeCell ref="B4:H4"/>
    <mergeCell ref="E7:H7"/>
    <mergeCell ref="E8:H8"/>
    <mergeCell ref="E9:H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26"/>
  <sheetViews>
    <sheetView showGridLines="0" zoomScaleNormal="100" workbookViewId="0">
      <pane xSplit="2" ySplit="5" topLeftCell="C6" activePane="bottomRight" state="frozen"/>
      <selection pane="bottomRight" activeCell="D13" sqref="D13"/>
      <selection pane="bottomLeft" activeCell="A7" sqref="A7"/>
      <selection pane="topRight" activeCell="C1" sqref="C1"/>
    </sheetView>
  </sheetViews>
  <sheetFormatPr defaultColWidth="8.7109375" defaultRowHeight="14.45"/>
  <cols>
    <col min="1" max="1" width="3" customWidth="1"/>
    <col min="2" max="2" width="16" customWidth="1"/>
    <col min="3" max="3" width="12" customWidth="1"/>
    <col min="4" max="4" width="16" customWidth="1"/>
    <col min="5" max="5" width="20" customWidth="1"/>
    <col min="6" max="6" width="18" customWidth="1"/>
    <col min="7" max="7" width="16" customWidth="1"/>
    <col min="8" max="8" width="14" customWidth="1"/>
    <col min="9" max="9" width="12" customWidth="1"/>
    <col min="10" max="10" width="15" customWidth="1"/>
    <col min="11" max="11" width="16" customWidth="1"/>
  </cols>
  <sheetData>
    <row r="2" spans="1:11" ht="25.5" customHeight="1">
      <c r="A2" s="19" t="s">
        <v>44</v>
      </c>
      <c r="B2" s="19"/>
      <c r="C2" s="19"/>
      <c r="D2" s="19"/>
      <c r="E2" s="19"/>
      <c r="F2" s="19"/>
      <c r="G2" s="19"/>
      <c r="H2" s="19"/>
      <c r="I2" s="19"/>
      <c r="J2" s="19"/>
    </row>
    <row r="3" spans="1:11">
      <c r="B3" s="26" t="s">
        <v>45</v>
      </c>
      <c r="C3" s="26"/>
      <c r="D3" s="26"/>
      <c r="E3" s="26"/>
      <c r="F3" s="26"/>
      <c r="G3" s="26"/>
      <c r="H3" s="26"/>
      <c r="I3" s="26"/>
      <c r="J3" s="26"/>
      <c r="K3" s="26"/>
    </row>
    <row r="5" spans="1:11" ht="31.5" customHeight="1">
      <c r="B5" s="1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1" t="s">
        <v>51</v>
      </c>
      <c r="H5" s="1" t="s">
        <v>52</v>
      </c>
      <c r="I5" s="1" t="s">
        <v>53</v>
      </c>
      <c r="J5" s="1" t="s">
        <v>54</v>
      </c>
      <c r="K5" s="1" t="s">
        <v>55</v>
      </c>
    </row>
    <row r="6" spans="1:11">
      <c r="B6" s="13" t="s">
        <v>56</v>
      </c>
      <c r="C6" s="13">
        <v>6626178</v>
      </c>
      <c r="D6" s="13">
        <v>510000</v>
      </c>
      <c r="E6" s="13">
        <v>258000</v>
      </c>
      <c r="F6" s="13">
        <v>170000</v>
      </c>
      <c r="G6" s="13">
        <v>42000</v>
      </c>
      <c r="H6" s="13">
        <v>13000</v>
      </c>
      <c r="I6" s="13">
        <v>6500</v>
      </c>
      <c r="J6" s="14">
        <v>999500</v>
      </c>
      <c r="K6" s="17">
        <v>46112</v>
      </c>
    </row>
    <row r="7" spans="1:11">
      <c r="B7" s="13" t="s">
        <v>57</v>
      </c>
      <c r="C7" s="13">
        <v>3685681</v>
      </c>
      <c r="D7" s="13">
        <v>290000</v>
      </c>
      <c r="E7" s="13">
        <v>145000</v>
      </c>
      <c r="F7" s="13">
        <v>96000</v>
      </c>
      <c r="G7" s="13">
        <v>24000</v>
      </c>
      <c r="H7" s="13">
        <v>7300</v>
      </c>
      <c r="I7" s="13">
        <v>3700</v>
      </c>
      <c r="J7" s="14">
        <v>566000</v>
      </c>
      <c r="K7" s="17">
        <v>46112</v>
      </c>
    </row>
    <row r="8" spans="1:11">
      <c r="B8" s="13" t="s">
        <v>58</v>
      </c>
      <c r="C8" s="13">
        <v>3671999</v>
      </c>
      <c r="D8" s="13">
        <v>280000</v>
      </c>
      <c r="E8" s="13">
        <v>140000</v>
      </c>
      <c r="F8" s="13">
        <v>93000</v>
      </c>
      <c r="G8" s="13">
        <v>23000</v>
      </c>
      <c r="H8" s="13">
        <v>7000</v>
      </c>
      <c r="I8" s="13">
        <v>3500</v>
      </c>
      <c r="J8" s="14">
        <v>546500</v>
      </c>
      <c r="K8" s="17">
        <v>46112</v>
      </c>
    </row>
    <row r="9" spans="1:11">
      <c r="B9" s="13" t="s">
        <v>59</v>
      </c>
      <c r="C9" s="13">
        <v>3068420</v>
      </c>
      <c r="D9" s="13">
        <v>235000</v>
      </c>
      <c r="E9" s="13">
        <v>118000</v>
      </c>
      <c r="F9" s="13">
        <v>78000</v>
      </c>
      <c r="G9" s="13">
        <v>20000</v>
      </c>
      <c r="H9" s="13">
        <v>6000</v>
      </c>
      <c r="I9" s="13">
        <v>3000</v>
      </c>
      <c r="J9" s="14">
        <v>460000</v>
      </c>
      <c r="K9" s="17">
        <v>46112</v>
      </c>
    </row>
    <row r="10" spans="1:11">
      <c r="B10" s="13" t="s">
        <v>60</v>
      </c>
      <c r="C10" s="13">
        <v>1951014</v>
      </c>
      <c r="D10" s="13">
        <v>160000</v>
      </c>
      <c r="E10" s="13">
        <v>80000</v>
      </c>
      <c r="F10" s="13">
        <v>53000</v>
      </c>
      <c r="G10" s="13">
        <v>14000</v>
      </c>
      <c r="H10" s="13">
        <v>5100</v>
      </c>
      <c r="I10" s="13">
        <v>2600</v>
      </c>
      <c r="J10" s="14">
        <v>314700</v>
      </c>
      <c r="K10" s="17">
        <v>46112</v>
      </c>
    </row>
    <row r="11" spans="1:11">
      <c r="B11" s="13" t="s">
        <v>61</v>
      </c>
      <c r="C11" s="13">
        <v>2584913</v>
      </c>
      <c r="D11" s="13">
        <v>198000</v>
      </c>
      <c r="E11" s="13">
        <v>99000</v>
      </c>
      <c r="F11" s="13">
        <v>66000</v>
      </c>
      <c r="G11" s="13">
        <v>17000</v>
      </c>
      <c r="H11" s="13">
        <v>6300</v>
      </c>
      <c r="I11" s="13">
        <v>3200</v>
      </c>
      <c r="J11" s="14">
        <v>389500</v>
      </c>
      <c r="K11" s="17">
        <v>46112</v>
      </c>
    </row>
    <row r="12" spans="1:11">
      <c r="B12" s="13" t="s">
        <v>62</v>
      </c>
      <c r="C12" s="13">
        <v>2367745</v>
      </c>
      <c r="D12" s="13">
        <v>180000</v>
      </c>
      <c r="E12" s="13">
        <v>90000</v>
      </c>
      <c r="F12" s="13">
        <v>60000</v>
      </c>
      <c r="G12" s="13">
        <v>15000</v>
      </c>
      <c r="H12" s="13">
        <v>5700</v>
      </c>
      <c r="I12" s="13">
        <v>2900</v>
      </c>
      <c r="J12" s="14">
        <v>353600</v>
      </c>
      <c r="K12" s="17">
        <v>46112</v>
      </c>
    </row>
    <row r="13" spans="1:11">
      <c r="B13" s="13" t="s">
        <v>63</v>
      </c>
      <c r="C13" s="13">
        <v>2410459</v>
      </c>
      <c r="D13" s="13">
        <v>182000</v>
      </c>
      <c r="E13" s="13">
        <v>92000</v>
      </c>
      <c r="F13" s="13">
        <v>61000</v>
      </c>
      <c r="G13" s="13">
        <v>15500</v>
      </c>
      <c r="H13" s="13">
        <v>5800</v>
      </c>
      <c r="I13" s="13">
        <v>3000</v>
      </c>
      <c r="J13" s="14">
        <v>359300</v>
      </c>
      <c r="K13" s="17">
        <v>46112</v>
      </c>
    </row>
    <row r="14" spans="1:11">
      <c r="B14" s="13" t="s">
        <v>64</v>
      </c>
      <c r="C14" s="13">
        <v>2549121</v>
      </c>
      <c r="D14" s="13">
        <v>194000</v>
      </c>
      <c r="E14" s="13">
        <v>97000</v>
      </c>
      <c r="F14" s="13">
        <v>65000</v>
      </c>
      <c r="G14" s="13">
        <v>16500</v>
      </c>
      <c r="H14" s="13">
        <v>6200</v>
      </c>
      <c r="I14" s="13">
        <v>3100</v>
      </c>
      <c r="J14" s="14">
        <v>381800</v>
      </c>
      <c r="K14" s="17">
        <v>46112</v>
      </c>
    </row>
    <row r="15" spans="1:11">
      <c r="B15" s="13" t="s">
        <v>65</v>
      </c>
      <c r="C15" s="13">
        <v>2677737</v>
      </c>
      <c r="D15" s="13">
        <v>202000</v>
      </c>
      <c r="E15" s="13">
        <v>102000</v>
      </c>
      <c r="F15" s="13">
        <v>68000</v>
      </c>
      <c r="G15" s="13">
        <v>17000</v>
      </c>
      <c r="H15" s="13">
        <v>6500</v>
      </c>
      <c r="I15" s="13">
        <v>3300</v>
      </c>
      <c r="J15" s="14">
        <v>398800</v>
      </c>
      <c r="K15" s="17">
        <v>46112</v>
      </c>
    </row>
    <row r="16" spans="1:11">
      <c r="B16" s="13" t="s">
        <v>66</v>
      </c>
      <c r="C16" s="13">
        <v>2038533</v>
      </c>
      <c r="D16" s="13">
        <v>156000</v>
      </c>
      <c r="E16" s="13">
        <v>78000</v>
      </c>
      <c r="F16" s="13">
        <v>52000</v>
      </c>
      <c r="G16" s="13">
        <v>13000</v>
      </c>
      <c r="H16" s="13">
        <v>5000</v>
      </c>
      <c r="I16" s="13">
        <v>2500</v>
      </c>
      <c r="J16" s="14">
        <v>306500</v>
      </c>
      <c r="K16" s="17">
        <v>46112</v>
      </c>
    </row>
    <row r="17" spans="2:11">
      <c r="B17" s="13" t="s">
        <v>67</v>
      </c>
      <c r="C17" s="13">
        <v>3307743</v>
      </c>
      <c r="D17" s="13">
        <v>248000</v>
      </c>
      <c r="E17" s="13">
        <v>125000</v>
      </c>
      <c r="F17" s="13">
        <v>83000</v>
      </c>
      <c r="G17" s="13">
        <v>21000</v>
      </c>
      <c r="H17" s="13">
        <v>8000</v>
      </c>
      <c r="I17" s="13">
        <v>4000</v>
      </c>
      <c r="J17" s="14">
        <v>489000</v>
      </c>
      <c r="K17" s="17">
        <v>46112</v>
      </c>
    </row>
    <row r="18" spans="2:11">
      <c r="B18" s="13" t="s">
        <v>68</v>
      </c>
      <c r="C18" s="13">
        <v>2039547</v>
      </c>
      <c r="D18" s="13">
        <v>155000</v>
      </c>
      <c r="E18" s="13">
        <v>78000</v>
      </c>
      <c r="F18" s="13">
        <v>52000</v>
      </c>
      <c r="G18" s="13">
        <v>13000</v>
      </c>
      <c r="H18" s="13">
        <v>4900</v>
      </c>
      <c r="I18" s="13">
        <v>2400</v>
      </c>
      <c r="J18" s="14">
        <v>305300</v>
      </c>
      <c r="K18" s="17">
        <v>46112</v>
      </c>
    </row>
    <row r="19" spans="2:11">
      <c r="B19" s="13" t="s">
        <v>69</v>
      </c>
      <c r="C19" s="13">
        <v>2603751</v>
      </c>
      <c r="D19" s="13">
        <v>196000</v>
      </c>
      <c r="E19" s="13">
        <v>98000</v>
      </c>
      <c r="F19" s="13">
        <v>65000</v>
      </c>
      <c r="G19" s="13">
        <v>16500</v>
      </c>
      <c r="H19" s="13">
        <v>6200</v>
      </c>
      <c r="I19" s="13">
        <v>3100</v>
      </c>
      <c r="J19" s="14">
        <v>384800</v>
      </c>
      <c r="K19" s="17">
        <v>46112</v>
      </c>
    </row>
    <row r="20" spans="2:11">
      <c r="B20" s="13" t="s">
        <v>70</v>
      </c>
      <c r="C20" s="13">
        <v>1411327</v>
      </c>
      <c r="D20" s="13">
        <v>110000</v>
      </c>
      <c r="E20" s="13">
        <v>55000</v>
      </c>
      <c r="F20" s="13">
        <v>37000</v>
      </c>
      <c r="G20" s="13">
        <v>9000</v>
      </c>
      <c r="H20" s="13">
        <v>3500</v>
      </c>
      <c r="I20" s="13">
        <v>1800</v>
      </c>
      <c r="J20" s="14">
        <v>216300</v>
      </c>
      <c r="K20" s="17">
        <v>46112</v>
      </c>
    </row>
    <row r="21" spans="2:11">
      <c r="B21" s="13" t="s">
        <v>71</v>
      </c>
      <c r="C21" s="13">
        <v>1110906</v>
      </c>
      <c r="D21" s="13">
        <v>86000</v>
      </c>
      <c r="E21" s="13">
        <v>43000</v>
      </c>
      <c r="F21" s="13">
        <v>29000</v>
      </c>
      <c r="G21" s="13">
        <v>7000</v>
      </c>
      <c r="H21" s="13">
        <v>2700</v>
      </c>
      <c r="I21" s="13">
        <v>1400</v>
      </c>
      <c r="J21" s="14">
        <v>169100</v>
      </c>
      <c r="K21" s="17">
        <v>46112</v>
      </c>
    </row>
    <row r="22" spans="2:11">
      <c r="B22" s="13" t="s">
        <v>72</v>
      </c>
      <c r="C22" s="13">
        <v>1779650</v>
      </c>
      <c r="D22" s="13">
        <v>136000</v>
      </c>
      <c r="E22" s="13">
        <v>68000</v>
      </c>
      <c r="F22" s="13">
        <v>45000</v>
      </c>
      <c r="G22" s="13">
        <v>11000</v>
      </c>
      <c r="H22" s="13">
        <v>4300</v>
      </c>
      <c r="I22" s="13">
        <v>2200</v>
      </c>
      <c r="J22" s="14">
        <v>266500</v>
      </c>
      <c r="K22" s="17">
        <v>46112</v>
      </c>
    </row>
    <row r="23" spans="2:11">
      <c r="B23" s="13" t="s">
        <v>73</v>
      </c>
      <c r="C23" s="13">
        <v>1637226</v>
      </c>
      <c r="D23" s="13">
        <v>125000</v>
      </c>
      <c r="E23" s="13">
        <v>63000</v>
      </c>
      <c r="F23" s="13">
        <v>42000</v>
      </c>
      <c r="G23" s="13">
        <v>10000</v>
      </c>
      <c r="H23" s="13">
        <v>3900</v>
      </c>
      <c r="I23" s="13">
        <v>2000</v>
      </c>
      <c r="J23" s="14">
        <v>245900</v>
      </c>
      <c r="K23" s="17">
        <v>46112</v>
      </c>
    </row>
    <row r="24" spans="2:11">
      <c r="B24" s="13" t="s">
        <v>74</v>
      </c>
      <c r="C24" s="13">
        <v>1156597</v>
      </c>
      <c r="D24" s="13">
        <v>89000</v>
      </c>
      <c r="E24" s="13">
        <v>45000</v>
      </c>
      <c r="F24" s="13">
        <v>30000</v>
      </c>
      <c r="G24" s="13">
        <v>7500</v>
      </c>
      <c r="H24" s="13">
        <v>2800</v>
      </c>
      <c r="I24" s="13">
        <v>1400</v>
      </c>
      <c r="J24" s="14">
        <v>175700</v>
      </c>
      <c r="K24" s="17">
        <v>46112</v>
      </c>
    </row>
    <row r="25" spans="2:11">
      <c r="B25" t="s">
        <v>75</v>
      </c>
      <c r="C25">
        <v>1421711</v>
      </c>
      <c r="D25">
        <v>108000</v>
      </c>
      <c r="E25">
        <v>54000</v>
      </c>
      <c r="F25">
        <v>36000</v>
      </c>
      <c r="G25">
        <v>9000</v>
      </c>
      <c r="H25">
        <v>3900</v>
      </c>
      <c r="I25">
        <v>2000</v>
      </c>
      <c r="J25">
        <v>212900</v>
      </c>
      <c r="K25" s="18">
        <v>46112</v>
      </c>
    </row>
    <row r="26" spans="2:11">
      <c r="B26" s="9"/>
      <c r="C26" s="9"/>
      <c r="D26" s="9"/>
      <c r="E26" s="9"/>
      <c r="F26" s="9"/>
      <c r="G26" s="9"/>
      <c r="H26" s="9">
        <f>SUM(H6:H24)</f>
        <v>110200</v>
      </c>
      <c r="I26" s="9">
        <f>SUM(I6:I24)</f>
        <v>55600</v>
      </c>
      <c r="J26" s="9">
        <f>SUM(J6:J24)</f>
        <v>7328800</v>
      </c>
    </row>
  </sheetData>
  <mergeCells count="2">
    <mergeCell ref="A2:J2"/>
    <mergeCell ref="B3:K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26"/>
  <sheetViews>
    <sheetView showGridLines="0" zoomScaleNormal="100" workbookViewId="0">
      <pane xSplit="2" ySplit="5" topLeftCell="C6" activePane="bottomRight" state="frozen"/>
      <selection pane="bottomRight" activeCell="I13" sqref="I13"/>
      <selection pane="bottomLeft" activeCell="A7" sqref="A7"/>
      <selection pane="topRight" activeCell="C1" sqref="C1"/>
    </sheetView>
  </sheetViews>
  <sheetFormatPr defaultColWidth="8.7109375" defaultRowHeight="14.45"/>
  <cols>
    <col min="1" max="1" width="3" customWidth="1"/>
    <col min="2" max="2" width="16" customWidth="1"/>
    <col min="3" max="3" width="20" customWidth="1"/>
    <col min="4" max="4" width="13" customWidth="1"/>
    <col min="5" max="5" width="18" customWidth="1"/>
    <col min="6" max="6" width="16" customWidth="1"/>
    <col min="7" max="7" width="18" customWidth="1"/>
    <col min="8" max="8" width="30" customWidth="1"/>
  </cols>
  <sheetData>
    <row r="2" spans="1:8" ht="25.5" customHeight="1">
      <c r="A2" s="19" t="s">
        <v>76</v>
      </c>
      <c r="B2" s="19"/>
      <c r="C2" s="19"/>
      <c r="D2" s="19"/>
      <c r="E2" s="19"/>
      <c r="F2" s="19"/>
      <c r="G2" s="19"/>
    </row>
    <row r="3" spans="1:8">
      <c r="B3" s="26" t="s">
        <v>77</v>
      </c>
      <c r="C3" s="26"/>
      <c r="D3" s="26"/>
      <c r="E3" s="26"/>
      <c r="F3" s="26"/>
      <c r="G3" s="26"/>
      <c r="H3" s="26"/>
    </row>
    <row r="5" spans="1:8" ht="31.5" customHeight="1">
      <c r="B5" s="1" t="s">
        <v>46</v>
      </c>
      <c r="C5" s="1" t="s">
        <v>78</v>
      </c>
      <c r="D5" s="1" t="s">
        <v>79</v>
      </c>
      <c r="E5" s="1" t="s">
        <v>80</v>
      </c>
      <c r="F5" s="1" t="s">
        <v>81</v>
      </c>
      <c r="G5" s="1" t="s">
        <v>82</v>
      </c>
      <c r="H5" s="1" t="s">
        <v>83</v>
      </c>
    </row>
    <row r="6" spans="1:8">
      <c r="B6" s="13" t="s">
        <v>56</v>
      </c>
      <c r="C6" s="14">
        <v>398000</v>
      </c>
      <c r="D6" s="13">
        <v>18</v>
      </c>
      <c r="E6" s="13">
        <v>450000</v>
      </c>
      <c r="F6" s="13">
        <v>420000</v>
      </c>
      <c r="G6" s="13" t="s">
        <v>84</v>
      </c>
      <c r="H6" s="13"/>
    </row>
    <row r="7" spans="1:8">
      <c r="B7" s="13" t="s">
        <v>57</v>
      </c>
      <c r="C7" s="14">
        <v>220000</v>
      </c>
      <c r="D7" s="13">
        <v>12</v>
      </c>
      <c r="E7" s="13">
        <v>250000</v>
      </c>
      <c r="F7" s="13">
        <v>230000</v>
      </c>
      <c r="G7" s="13" t="s">
        <v>85</v>
      </c>
      <c r="H7" s="13"/>
    </row>
    <row r="8" spans="1:8">
      <c r="B8" s="13" t="s">
        <v>58</v>
      </c>
      <c r="C8" s="14">
        <v>212000</v>
      </c>
      <c r="D8" s="13">
        <v>11</v>
      </c>
      <c r="E8" s="13">
        <v>240000</v>
      </c>
      <c r="F8" s="13">
        <v>220000</v>
      </c>
      <c r="G8" s="13" t="s">
        <v>86</v>
      </c>
      <c r="H8" s="13"/>
    </row>
    <row r="9" spans="1:8">
      <c r="B9" s="13" t="s">
        <v>59</v>
      </c>
      <c r="C9" s="14">
        <v>180000</v>
      </c>
      <c r="D9" s="13">
        <v>10</v>
      </c>
      <c r="E9" s="13">
        <v>205000</v>
      </c>
      <c r="F9" s="13">
        <v>188000</v>
      </c>
      <c r="G9" s="13" t="s">
        <v>87</v>
      </c>
      <c r="H9" s="13"/>
    </row>
    <row r="10" spans="1:8">
      <c r="B10" s="13" t="s">
        <v>60</v>
      </c>
      <c r="C10" s="14">
        <v>122000</v>
      </c>
      <c r="D10" s="13">
        <v>9</v>
      </c>
      <c r="E10" s="13">
        <v>140000</v>
      </c>
      <c r="F10" s="13">
        <v>128000</v>
      </c>
      <c r="G10" s="13" t="s">
        <v>88</v>
      </c>
      <c r="H10" s="13"/>
    </row>
    <row r="11" spans="1:8">
      <c r="B11" s="13" t="s">
        <v>61</v>
      </c>
      <c r="C11" s="14">
        <v>150000</v>
      </c>
      <c r="D11" s="13">
        <v>9</v>
      </c>
      <c r="E11" s="13">
        <v>170000</v>
      </c>
      <c r="F11" s="13">
        <v>156000</v>
      </c>
      <c r="G11" s="13" t="s">
        <v>89</v>
      </c>
      <c r="H11" s="13"/>
    </row>
    <row r="12" spans="1:8">
      <c r="B12" s="13" t="s">
        <v>62</v>
      </c>
      <c r="C12" s="14">
        <v>136000</v>
      </c>
      <c r="D12" s="13">
        <v>8</v>
      </c>
      <c r="E12" s="13">
        <v>155000</v>
      </c>
      <c r="F12" s="13">
        <v>142000</v>
      </c>
      <c r="G12" s="13" t="s">
        <v>90</v>
      </c>
      <c r="H12" s="13"/>
    </row>
    <row r="13" spans="1:8">
      <c r="B13" s="13" t="s">
        <v>63</v>
      </c>
      <c r="C13" s="14">
        <v>138000</v>
      </c>
      <c r="D13" s="13">
        <v>8</v>
      </c>
      <c r="E13" s="13">
        <v>158000</v>
      </c>
      <c r="F13" s="13">
        <v>144000</v>
      </c>
      <c r="G13" s="13" t="s">
        <v>91</v>
      </c>
      <c r="H13" s="13"/>
    </row>
    <row r="14" spans="1:8">
      <c r="B14" s="13" t="s">
        <v>64</v>
      </c>
      <c r="C14" s="14">
        <v>146000</v>
      </c>
      <c r="D14" s="13">
        <v>8</v>
      </c>
      <c r="E14" s="13">
        <v>165000</v>
      </c>
      <c r="F14" s="13">
        <v>151000</v>
      </c>
      <c r="G14" s="13" t="s">
        <v>92</v>
      </c>
      <c r="H14" s="13"/>
    </row>
    <row r="15" spans="1:8">
      <c r="B15" s="13" t="s">
        <v>65</v>
      </c>
      <c r="C15" s="14">
        <v>152000</v>
      </c>
      <c r="D15" s="13">
        <v>9</v>
      </c>
      <c r="E15" s="13">
        <v>172000</v>
      </c>
      <c r="F15" s="13">
        <v>158000</v>
      </c>
      <c r="G15" s="13" t="s">
        <v>93</v>
      </c>
      <c r="H15" s="13"/>
    </row>
    <row r="16" spans="1:8">
      <c r="B16" s="13" t="s">
        <v>66</v>
      </c>
      <c r="C16" s="14">
        <v>118000</v>
      </c>
      <c r="D16" s="13">
        <v>7</v>
      </c>
      <c r="E16" s="13">
        <v>135000</v>
      </c>
      <c r="F16" s="13">
        <v>122000</v>
      </c>
      <c r="G16" s="13" t="s">
        <v>94</v>
      </c>
      <c r="H16" s="13"/>
    </row>
    <row r="17" spans="2:8">
      <c r="B17" s="13" t="s">
        <v>67</v>
      </c>
      <c r="C17" s="14">
        <v>188000</v>
      </c>
      <c r="D17" s="13">
        <v>8</v>
      </c>
      <c r="E17" s="13">
        <v>215000</v>
      </c>
      <c r="F17" s="13">
        <v>195000</v>
      </c>
      <c r="G17" s="13" t="s">
        <v>95</v>
      </c>
      <c r="H17" s="13"/>
    </row>
    <row r="18" spans="2:8">
      <c r="B18" s="13" t="s">
        <v>68</v>
      </c>
      <c r="C18" s="14">
        <v>118000</v>
      </c>
      <c r="D18" s="13">
        <v>7</v>
      </c>
      <c r="E18" s="13">
        <v>135000</v>
      </c>
      <c r="F18" s="13">
        <v>123000</v>
      </c>
      <c r="G18" s="13" t="s">
        <v>96</v>
      </c>
      <c r="H18" s="13"/>
    </row>
    <row r="19" spans="2:8">
      <c r="B19" s="13" t="s">
        <v>69</v>
      </c>
      <c r="C19" s="14">
        <v>148000</v>
      </c>
      <c r="D19" s="13">
        <v>8</v>
      </c>
      <c r="E19" s="13">
        <v>168000</v>
      </c>
      <c r="F19" s="13">
        <v>154000</v>
      </c>
      <c r="G19" s="13" t="s">
        <v>97</v>
      </c>
      <c r="H19" s="13"/>
    </row>
    <row r="20" spans="2:8">
      <c r="B20" s="13" t="s">
        <v>70</v>
      </c>
      <c r="C20" s="14">
        <v>82000</v>
      </c>
      <c r="D20" s="13">
        <v>6</v>
      </c>
      <c r="E20" s="13">
        <v>94000</v>
      </c>
      <c r="F20" s="13">
        <v>86000</v>
      </c>
      <c r="G20" s="13" t="s">
        <v>98</v>
      </c>
      <c r="H20" s="13"/>
    </row>
    <row r="21" spans="2:8">
      <c r="B21" s="13" t="s">
        <v>71</v>
      </c>
      <c r="C21" s="14">
        <v>65000</v>
      </c>
      <c r="D21" s="13">
        <v>5</v>
      </c>
      <c r="E21" s="13">
        <v>74000</v>
      </c>
      <c r="F21" s="13">
        <v>68000</v>
      </c>
      <c r="G21" s="13" t="s">
        <v>99</v>
      </c>
      <c r="H21" s="13"/>
    </row>
    <row r="22" spans="2:8">
      <c r="B22" s="13" t="s">
        <v>72</v>
      </c>
      <c r="C22" s="14">
        <v>104000</v>
      </c>
      <c r="D22" s="13">
        <v>6</v>
      </c>
      <c r="E22" s="13">
        <v>118000</v>
      </c>
      <c r="F22" s="13">
        <v>108000</v>
      </c>
      <c r="G22" s="13" t="s">
        <v>100</v>
      </c>
      <c r="H22" s="13"/>
    </row>
    <row r="23" spans="2:8">
      <c r="B23" s="13" t="s">
        <v>73</v>
      </c>
      <c r="C23" s="14">
        <v>96000</v>
      </c>
      <c r="D23" s="13">
        <v>6</v>
      </c>
      <c r="E23" s="13">
        <v>110000</v>
      </c>
      <c r="F23" s="13">
        <v>100000</v>
      </c>
      <c r="G23" s="13" t="s">
        <v>101</v>
      </c>
      <c r="H23" s="13"/>
    </row>
    <row r="24" spans="2:8">
      <c r="B24" s="13" t="s">
        <v>74</v>
      </c>
      <c r="C24" s="14">
        <v>69000</v>
      </c>
      <c r="D24" s="13">
        <v>5</v>
      </c>
      <c r="E24" s="13">
        <v>79000</v>
      </c>
      <c r="F24" s="13">
        <v>72000</v>
      </c>
      <c r="G24" s="13" t="s">
        <v>102</v>
      </c>
      <c r="H24" s="13"/>
    </row>
    <row r="25" spans="2:8">
      <c r="B25" t="s">
        <v>75</v>
      </c>
      <c r="C25">
        <v>84000</v>
      </c>
      <c r="D25">
        <v>5</v>
      </c>
      <c r="E25">
        <v>96000</v>
      </c>
      <c r="F25">
        <v>88000</v>
      </c>
      <c r="G25" t="s">
        <v>103</v>
      </c>
    </row>
    <row r="26" spans="2:8">
      <c r="B26" s="9"/>
      <c r="C26" s="9"/>
      <c r="D26" s="9"/>
      <c r="E26" s="9"/>
      <c r="F26" s="9"/>
      <c r="G26" s="9"/>
    </row>
  </sheetData>
  <mergeCells count="2">
    <mergeCell ref="A2:G2"/>
    <mergeCell ref="B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7"/>
  <sheetViews>
    <sheetView showGridLines="0" zoomScaleNormal="100" workbookViewId="0">
      <pane xSplit="2" ySplit="5" topLeftCell="C19" activePane="bottomRight" state="frozen"/>
      <selection pane="bottomRight" activeCell="B6" sqref="B6"/>
      <selection pane="bottomLeft" activeCell="A7" sqref="A7"/>
      <selection pane="topRight" activeCell="C1" sqref="C1"/>
    </sheetView>
  </sheetViews>
  <sheetFormatPr defaultColWidth="8.7109375" defaultRowHeight="14.45"/>
  <cols>
    <col min="1" max="1" width="3" customWidth="1"/>
    <col min="2" max="2" width="28" customWidth="1"/>
    <col min="3" max="3" width="22" customWidth="1"/>
    <col min="4" max="4" width="14" customWidth="1"/>
    <col min="5" max="5" width="16" customWidth="1"/>
    <col min="6" max="6" width="20" customWidth="1"/>
    <col min="7" max="8" width="18" customWidth="1"/>
  </cols>
  <sheetData>
    <row r="2" spans="1:8" ht="25.5" customHeight="1">
      <c r="A2" s="19" t="s">
        <v>104</v>
      </c>
      <c r="B2" s="19"/>
      <c r="C2" s="19"/>
      <c r="D2" s="19"/>
      <c r="E2" s="19"/>
      <c r="F2" s="19"/>
      <c r="G2" s="19"/>
    </row>
    <row r="3" spans="1:8">
      <c r="B3" s="26" t="s">
        <v>105</v>
      </c>
      <c r="C3" s="26"/>
      <c r="D3" s="26"/>
      <c r="E3" s="26"/>
      <c r="F3" s="26"/>
      <c r="G3" s="26"/>
      <c r="H3" s="26"/>
    </row>
    <row r="5" spans="1:8" ht="31.5" customHeight="1">
      <c r="B5" s="1" t="s">
        <v>106</v>
      </c>
      <c r="C5" s="1" t="s">
        <v>107</v>
      </c>
      <c r="D5" s="1" t="s">
        <v>46</v>
      </c>
      <c r="E5" s="1" t="s">
        <v>108</v>
      </c>
      <c r="F5" s="1" t="s">
        <v>109</v>
      </c>
      <c r="G5" s="1" t="s">
        <v>110</v>
      </c>
      <c r="H5" s="1" t="s">
        <v>111</v>
      </c>
    </row>
    <row r="6" spans="1:8">
      <c r="B6" s="13" t="s">
        <v>112</v>
      </c>
      <c r="C6" s="13" t="s">
        <v>113</v>
      </c>
      <c r="D6" s="13" t="s">
        <v>56</v>
      </c>
      <c r="E6" s="13">
        <v>4490</v>
      </c>
      <c r="F6" s="13">
        <v>3925</v>
      </c>
      <c r="G6" s="15">
        <v>87.4</v>
      </c>
      <c r="H6" s="17">
        <v>46843</v>
      </c>
    </row>
    <row r="7" spans="1:8">
      <c r="B7" s="13" t="s">
        <v>114</v>
      </c>
      <c r="C7" s="13" t="s">
        <v>115</v>
      </c>
      <c r="D7" s="13" t="s">
        <v>58</v>
      </c>
      <c r="E7" s="13">
        <v>1780</v>
      </c>
      <c r="F7" s="13">
        <v>1560</v>
      </c>
      <c r="G7" s="15">
        <v>87.6</v>
      </c>
      <c r="H7" s="17">
        <v>46843</v>
      </c>
    </row>
    <row r="8" spans="1:8">
      <c r="B8" s="13" t="s">
        <v>116</v>
      </c>
      <c r="C8" s="13" t="s">
        <v>117</v>
      </c>
      <c r="D8" s="13" t="s">
        <v>65</v>
      </c>
      <c r="E8" s="13">
        <v>600</v>
      </c>
      <c r="F8" s="13">
        <v>510</v>
      </c>
      <c r="G8" s="15">
        <v>85</v>
      </c>
      <c r="H8" s="17">
        <v>46477</v>
      </c>
    </row>
    <row r="9" spans="1:8">
      <c r="B9" s="13" t="s">
        <v>118</v>
      </c>
      <c r="C9" s="13" t="s">
        <v>119</v>
      </c>
      <c r="D9" s="13" t="s">
        <v>56</v>
      </c>
      <c r="E9" s="13">
        <v>480</v>
      </c>
      <c r="F9" s="13">
        <v>395</v>
      </c>
      <c r="G9" s="15">
        <v>82.3</v>
      </c>
      <c r="H9" s="17">
        <v>46477</v>
      </c>
    </row>
    <row r="10" spans="1:8">
      <c r="B10" s="13" t="s">
        <v>120</v>
      </c>
      <c r="C10" s="13" t="s">
        <v>121</v>
      </c>
      <c r="D10" s="13" t="s">
        <v>122</v>
      </c>
      <c r="E10" s="13">
        <v>680</v>
      </c>
      <c r="F10" s="13">
        <v>575</v>
      </c>
      <c r="G10" s="15">
        <v>84.6</v>
      </c>
      <c r="H10" s="17">
        <v>46843</v>
      </c>
    </row>
    <row r="11" spans="1:8">
      <c r="B11" s="13" t="s">
        <v>123</v>
      </c>
      <c r="C11" s="13" t="s">
        <v>124</v>
      </c>
      <c r="D11" s="13" t="s">
        <v>56</v>
      </c>
      <c r="E11" s="13">
        <v>1200</v>
      </c>
      <c r="F11" s="13">
        <v>1040</v>
      </c>
      <c r="G11" s="15">
        <v>86.7</v>
      </c>
      <c r="H11" s="17">
        <v>47208</v>
      </c>
    </row>
    <row r="12" spans="1:8">
      <c r="B12" s="13" t="s">
        <v>125</v>
      </c>
      <c r="C12" s="13" t="s">
        <v>126</v>
      </c>
      <c r="D12" s="13" t="s">
        <v>56</v>
      </c>
      <c r="E12" s="13">
        <v>950</v>
      </c>
      <c r="F12" s="13">
        <v>820</v>
      </c>
      <c r="G12" s="15">
        <v>86.3</v>
      </c>
      <c r="H12" s="17">
        <v>46843</v>
      </c>
    </row>
    <row r="13" spans="1:8">
      <c r="B13" s="13" t="s">
        <v>127</v>
      </c>
      <c r="C13" s="13" t="s">
        <v>128</v>
      </c>
      <c r="D13" s="13" t="s">
        <v>58</v>
      </c>
      <c r="E13" s="13">
        <v>1500</v>
      </c>
      <c r="F13" s="13">
        <v>1325</v>
      </c>
      <c r="G13" s="15">
        <v>88.3</v>
      </c>
      <c r="H13" s="17">
        <v>47208</v>
      </c>
    </row>
    <row r="14" spans="1:8">
      <c r="B14" s="13" t="s">
        <v>129</v>
      </c>
      <c r="C14" s="13" t="s">
        <v>130</v>
      </c>
      <c r="D14" s="13" t="s">
        <v>57</v>
      </c>
      <c r="E14" s="13">
        <v>450</v>
      </c>
      <c r="F14" s="13">
        <v>365</v>
      </c>
      <c r="G14" s="15">
        <v>81.099999999999994</v>
      </c>
      <c r="H14" s="17">
        <v>46477</v>
      </c>
    </row>
    <row r="15" spans="1:8">
      <c r="B15" s="13" t="s">
        <v>131</v>
      </c>
      <c r="C15" s="13" t="s">
        <v>132</v>
      </c>
      <c r="D15" s="13" t="s">
        <v>122</v>
      </c>
      <c r="E15" s="13">
        <v>820</v>
      </c>
      <c r="F15" s="13">
        <v>710</v>
      </c>
      <c r="G15" s="15">
        <v>86.6</v>
      </c>
      <c r="H15" s="17">
        <v>46843</v>
      </c>
    </row>
    <row r="16" spans="1:8">
      <c r="B16" s="13" t="s">
        <v>133</v>
      </c>
      <c r="C16" s="13" t="s">
        <v>134</v>
      </c>
      <c r="D16" s="13" t="s">
        <v>56</v>
      </c>
      <c r="E16" s="13">
        <v>700</v>
      </c>
      <c r="F16" s="13">
        <v>605</v>
      </c>
      <c r="G16" s="15">
        <v>86.4</v>
      </c>
      <c r="H16" s="17">
        <v>46843</v>
      </c>
    </row>
    <row r="17" spans="2:8">
      <c r="B17" s="13" t="s">
        <v>135</v>
      </c>
      <c r="C17" s="13" t="s">
        <v>136</v>
      </c>
      <c r="D17" s="13" t="s">
        <v>59</v>
      </c>
      <c r="E17" s="13">
        <v>650</v>
      </c>
      <c r="F17" s="13">
        <v>560</v>
      </c>
      <c r="G17" s="15">
        <v>86.2</v>
      </c>
      <c r="H17" s="17">
        <v>46477</v>
      </c>
    </row>
    <row r="18" spans="2:8">
      <c r="B18" s="13" t="s">
        <v>137</v>
      </c>
      <c r="C18" s="13" t="s">
        <v>138</v>
      </c>
      <c r="D18" s="13" t="s">
        <v>61</v>
      </c>
      <c r="E18" s="13">
        <v>850</v>
      </c>
      <c r="F18" s="13">
        <v>730</v>
      </c>
      <c r="G18" s="15">
        <v>85.9</v>
      </c>
      <c r="H18" s="17">
        <v>46843</v>
      </c>
    </row>
    <row r="19" spans="2:8">
      <c r="B19" s="13" t="s">
        <v>139</v>
      </c>
      <c r="C19" s="13" t="s">
        <v>140</v>
      </c>
      <c r="D19" s="13" t="s">
        <v>60</v>
      </c>
      <c r="E19" s="13">
        <v>750</v>
      </c>
      <c r="F19" s="13">
        <v>645</v>
      </c>
      <c r="G19" s="15">
        <v>86</v>
      </c>
      <c r="H19" s="17">
        <v>46843</v>
      </c>
    </row>
    <row r="20" spans="2:8">
      <c r="B20" s="13" t="s">
        <v>141</v>
      </c>
      <c r="C20" s="13" t="s">
        <v>142</v>
      </c>
      <c r="D20" s="13" t="s">
        <v>62</v>
      </c>
      <c r="E20" s="13">
        <v>500</v>
      </c>
      <c r="F20" s="13">
        <v>420</v>
      </c>
      <c r="G20" s="15">
        <v>84</v>
      </c>
      <c r="H20" s="17">
        <v>46477</v>
      </c>
    </row>
    <row r="21" spans="2:8">
      <c r="B21" s="13" t="s">
        <v>143</v>
      </c>
      <c r="C21" s="13" t="s">
        <v>144</v>
      </c>
      <c r="D21" s="13" t="s">
        <v>57</v>
      </c>
      <c r="E21" s="13">
        <v>620</v>
      </c>
      <c r="F21" s="13">
        <v>535</v>
      </c>
      <c r="G21" s="15">
        <v>86.3</v>
      </c>
      <c r="H21" s="17">
        <v>46843</v>
      </c>
    </row>
    <row r="22" spans="2:8">
      <c r="B22" s="13" t="s">
        <v>145</v>
      </c>
      <c r="C22" s="13" t="s">
        <v>146</v>
      </c>
      <c r="D22" s="13" t="s">
        <v>63</v>
      </c>
      <c r="E22" s="13">
        <v>550</v>
      </c>
      <c r="F22" s="13">
        <v>470</v>
      </c>
      <c r="G22" s="15">
        <v>85.5</v>
      </c>
      <c r="H22" s="17">
        <v>46843</v>
      </c>
    </row>
    <row r="23" spans="2:8">
      <c r="B23" s="13" t="s">
        <v>147</v>
      </c>
      <c r="C23" s="13" t="s">
        <v>148</v>
      </c>
      <c r="D23" s="13" t="s">
        <v>59</v>
      </c>
      <c r="E23" s="13">
        <v>900</v>
      </c>
      <c r="F23" s="13">
        <v>780</v>
      </c>
      <c r="G23" s="15">
        <v>86.7</v>
      </c>
      <c r="H23" s="17">
        <v>47208</v>
      </c>
    </row>
    <row r="24" spans="2:8">
      <c r="B24" s="13" t="s">
        <v>149</v>
      </c>
      <c r="C24" s="13" t="s">
        <v>150</v>
      </c>
      <c r="D24" s="13" t="s">
        <v>61</v>
      </c>
      <c r="E24" s="13">
        <v>780</v>
      </c>
      <c r="F24" s="13">
        <v>670</v>
      </c>
      <c r="G24" s="15">
        <v>85.9</v>
      </c>
      <c r="H24" s="17">
        <v>46843</v>
      </c>
    </row>
    <row r="25" spans="2:8">
      <c r="B25" s="13" t="s">
        <v>151</v>
      </c>
      <c r="C25" s="13" t="s">
        <v>152</v>
      </c>
      <c r="D25" s="13" t="s">
        <v>56</v>
      </c>
      <c r="E25" s="13">
        <v>1050</v>
      </c>
      <c r="F25" s="13">
        <v>915</v>
      </c>
      <c r="G25" s="15">
        <v>87.1</v>
      </c>
      <c r="H25" s="17">
        <v>47208</v>
      </c>
    </row>
    <row r="27" spans="2:8">
      <c r="B27" s="9" t="s">
        <v>153</v>
      </c>
      <c r="D27" s="9">
        <f>SUM(D6:D25)</f>
        <v>0</v>
      </c>
      <c r="E27" s="9">
        <f>SUM(E6:E25)</f>
        <v>20300</v>
      </c>
      <c r="F27" s="16">
        <f>IFERROR(AVERAGE(F6:F25),0)</f>
        <v>877.75</v>
      </c>
    </row>
  </sheetData>
  <mergeCells count="2">
    <mergeCell ref="A2:G2"/>
    <mergeCell ref="B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32"/>
  <sheetViews>
    <sheetView showGridLines="0" zoomScaleNormal="100" workbookViewId="0">
      <pane xSplit="2" ySplit="5" topLeftCell="C6" activePane="bottomRight" state="frozen"/>
      <selection pane="bottomRight" activeCell="A6" sqref="A6"/>
      <selection pane="bottomLeft" activeCell="A7" sqref="A7"/>
      <selection pane="topRight" activeCell="C1" sqref="C1"/>
    </sheetView>
  </sheetViews>
  <sheetFormatPr defaultColWidth="8.7109375" defaultRowHeight="14.45"/>
  <cols>
    <col min="1" max="1" width="3" customWidth="1"/>
    <col min="2" max="2" width="26" customWidth="1"/>
    <col min="3" max="3" width="20" customWidth="1"/>
    <col min="4" max="4" width="18" customWidth="1"/>
    <col min="5" max="5" width="16" customWidth="1"/>
    <col min="6" max="6" width="18" customWidth="1"/>
    <col min="7" max="7" width="22" customWidth="1"/>
    <col min="8" max="8" width="18" customWidth="1"/>
    <col min="9" max="9" width="28" customWidth="1"/>
  </cols>
  <sheetData>
    <row r="2" spans="1:9" ht="25.5" customHeight="1">
      <c r="A2" s="19" t="s">
        <v>154</v>
      </c>
      <c r="B2" s="19"/>
      <c r="C2" s="19"/>
      <c r="D2" s="19"/>
      <c r="E2" s="19"/>
      <c r="F2" s="19"/>
      <c r="G2" s="19"/>
      <c r="H2" s="19"/>
    </row>
    <row r="3" spans="1:9">
      <c r="B3" s="26" t="s">
        <v>155</v>
      </c>
      <c r="C3" s="26"/>
      <c r="D3" s="26"/>
      <c r="E3" s="26"/>
      <c r="F3" s="26"/>
      <c r="G3" s="26"/>
      <c r="H3" s="26"/>
      <c r="I3" s="26"/>
    </row>
    <row r="5" spans="1:9" ht="31.5" customHeight="1">
      <c r="B5" s="1" t="s">
        <v>156</v>
      </c>
      <c r="C5" s="1" t="s">
        <v>157</v>
      </c>
      <c r="D5" s="1" t="s">
        <v>158</v>
      </c>
      <c r="E5" s="1" t="s">
        <v>159</v>
      </c>
      <c r="F5" s="1" t="s">
        <v>160</v>
      </c>
      <c r="G5" s="1" t="s">
        <v>161</v>
      </c>
      <c r="H5" s="1" t="s">
        <v>162</v>
      </c>
      <c r="I5" s="1" t="s">
        <v>83</v>
      </c>
    </row>
    <row r="6" spans="1:9">
      <c r="B6" s="13" t="s">
        <v>112</v>
      </c>
      <c r="C6" s="13" t="s">
        <v>163</v>
      </c>
      <c r="D6" s="13" t="s">
        <v>164</v>
      </c>
      <c r="E6" s="13" t="s">
        <v>165</v>
      </c>
      <c r="F6" s="13" t="s">
        <v>165</v>
      </c>
      <c r="G6" s="13" t="s">
        <v>166</v>
      </c>
      <c r="H6" s="13" t="s">
        <v>167</v>
      </c>
      <c r="I6" s="13" t="s">
        <v>168</v>
      </c>
    </row>
    <row r="7" spans="1:9">
      <c r="B7" s="13" t="s">
        <v>169</v>
      </c>
      <c r="C7" s="13" t="s">
        <v>170</v>
      </c>
      <c r="D7" s="13" t="s">
        <v>164</v>
      </c>
      <c r="E7" s="13" t="s">
        <v>165</v>
      </c>
      <c r="F7" s="13" t="s">
        <v>165</v>
      </c>
      <c r="G7" s="13" t="s">
        <v>166</v>
      </c>
      <c r="H7" s="13" t="s">
        <v>167</v>
      </c>
      <c r="I7" s="13" t="s">
        <v>171</v>
      </c>
    </row>
    <row r="8" spans="1:9">
      <c r="B8" s="13" t="s">
        <v>172</v>
      </c>
      <c r="C8" s="13" t="s">
        <v>173</v>
      </c>
      <c r="D8" s="13" t="s">
        <v>164</v>
      </c>
      <c r="E8" s="13" t="s">
        <v>165</v>
      </c>
      <c r="F8" s="13" t="s">
        <v>165</v>
      </c>
      <c r="G8" s="13" t="s">
        <v>166</v>
      </c>
      <c r="H8" s="13" t="s">
        <v>167</v>
      </c>
      <c r="I8" s="13" t="s">
        <v>174</v>
      </c>
    </row>
    <row r="9" spans="1:9">
      <c r="B9" s="13" t="s">
        <v>175</v>
      </c>
      <c r="C9" s="13" t="s">
        <v>176</v>
      </c>
      <c r="D9" s="13" t="s">
        <v>164</v>
      </c>
      <c r="E9" s="13" t="s">
        <v>165</v>
      </c>
      <c r="F9" s="13" t="s">
        <v>165</v>
      </c>
      <c r="G9" s="13" t="s">
        <v>166</v>
      </c>
      <c r="H9" s="13" t="s">
        <v>167</v>
      </c>
      <c r="I9" s="13" t="s">
        <v>177</v>
      </c>
    </row>
    <row r="10" spans="1:9">
      <c r="B10" s="13" t="s">
        <v>178</v>
      </c>
      <c r="C10" s="13" t="s">
        <v>179</v>
      </c>
      <c r="D10" s="13" t="s">
        <v>164</v>
      </c>
      <c r="E10" s="13" t="s">
        <v>165</v>
      </c>
      <c r="F10" s="13" t="s">
        <v>165</v>
      </c>
      <c r="G10" s="13" t="s">
        <v>166</v>
      </c>
      <c r="H10" s="13" t="s">
        <v>167</v>
      </c>
      <c r="I10" s="13" t="s">
        <v>180</v>
      </c>
    </row>
    <row r="11" spans="1:9">
      <c r="B11" s="13" t="s">
        <v>181</v>
      </c>
      <c r="C11" s="13" t="s">
        <v>182</v>
      </c>
      <c r="D11" s="13" t="s">
        <v>183</v>
      </c>
      <c r="E11" s="13" t="s">
        <v>165</v>
      </c>
      <c r="F11" s="13" t="s">
        <v>165</v>
      </c>
      <c r="G11" s="13" t="s">
        <v>165</v>
      </c>
      <c r="H11" s="13" t="s">
        <v>165</v>
      </c>
      <c r="I11" s="13" t="s">
        <v>184</v>
      </c>
    </row>
    <row r="12" spans="1:9">
      <c r="B12" s="13" t="s">
        <v>185</v>
      </c>
      <c r="C12" s="13" t="s">
        <v>186</v>
      </c>
      <c r="D12" s="13" t="s">
        <v>164</v>
      </c>
      <c r="E12" s="13" t="s">
        <v>165</v>
      </c>
      <c r="F12" s="13" t="s">
        <v>165</v>
      </c>
      <c r="G12" s="13" t="s">
        <v>166</v>
      </c>
      <c r="H12" s="13" t="s">
        <v>167</v>
      </c>
      <c r="I12" s="13" t="s">
        <v>187</v>
      </c>
    </row>
    <row r="13" spans="1:9">
      <c r="B13" s="13" t="s">
        <v>188</v>
      </c>
      <c r="C13" s="13" t="s">
        <v>189</v>
      </c>
      <c r="D13" s="13" t="s">
        <v>164</v>
      </c>
      <c r="E13" s="13" t="s">
        <v>165</v>
      </c>
      <c r="F13" s="13" t="s">
        <v>165</v>
      </c>
      <c r="G13" s="13" t="s">
        <v>166</v>
      </c>
      <c r="H13" s="13" t="s">
        <v>167</v>
      </c>
      <c r="I13" s="13" t="s">
        <v>190</v>
      </c>
    </row>
    <row r="14" spans="1:9">
      <c r="B14" s="13" t="s">
        <v>191</v>
      </c>
      <c r="C14" s="13" t="s">
        <v>192</v>
      </c>
      <c r="D14" s="13" t="s">
        <v>164</v>
      </c>
      <c r="E14" s="13" t="s">
        <v>165</v>
      </c>
      <c r="F14" s="13" t="s">
        <v>165</v>
      </c>
      <c r="G14" s="13" t="s">
        <v>166</v>
      </c>
      <c r="H14" s="13" t="s">
        <v>167</v>
      </c>
      <c r="I14" s="13" t="s">
        <v>193</v>
      </c>
    </row>
    <row r="15" spans="1:9">
      <c r="B15" s="13" t="s">
        <v>127</v>
      </c>
      <c r="C15" s="13" t="s">
        <v>194</v>
      </c>
      <c r="D15" s="13" t="s">
        <v>164</v>
      </c>
      <c r="E15" s="13" t="s">
        <v>165</v>
      </c>
      <c r="F15" s="13" t="s">
        <v>165</v>
      </c>
      <c r="G15" s="13" t="s">
        <v>166</v>
      </c>
      <c r="H15" s="13" t="s">
        <v>167</v>
      </c>
      <c r="I15" s="13" t="s">
        <v>195</v>
      </c>
    </row>
    <row r="16" spans="1:9">
      <c r="B16" s="13" t="s">
        <v>196</v>
      </c>
      <c r="C16" s="13" t="s">
        <v>197</v>
      </c>
      <c r="D16" s="13" t="s">
        <v>164</v>
      </c>
      <c r="E16" s="13" t="s">
        <v>165</v>
      </c>
      <c r="F16" s="13" t="s">
        <v>165</v>
      </c>
      <c r="G16" s="13" t="s">
        <v>166</v>
      </c>
      <c r="H16" s="13" t="s">
        <v>167</v>
      </c>
      <c r="I16" s="13" t="s">
        <v>198</v>
      </c>
    </row>
    <row r="17" spans="2:9">
      <c r="B17" s="13" t="s">
        <v>199</v>
      </c>
      <c r="C17" s="13" t="s">
        <v>200</v>
      </c>
      <c r="D17" s="13" t="s">
        <v>183</v>
      </c>
      <c r="E17" s="13" t="s">
        <v>165</v>
      </c>
      <c r="F17" s="13" t="s">
        <v>165</v>
      </c>
      <c r="G17" s="13" t="s">
        <v>165</v>
      </c>
      <c r="H17" s="13" t="s">
        <v>165</v>
      </c>
      <c r="I17" s="13" t="s">
        <v>201</v>
      </c>
    </row>
    <row r="18" spans="2:9">
      <c r="B18" s="13" t="s">
        <v>202</v>
      </c>
      <c r="C18" s="13" t="s">
        <v>203</v>
      </c>
      <c r="D18" s="13" t="s">
        <v>164</v>
      </c>
      <c r="E18" s="13" t="s">
        <v>165</v>
      </c>
      <c r="F18" s="13" t="s">
        <v>165</v>
      </c>
      <c r="G18" s="13" t="s">
        <v>166</v>
      </c>
      <c r="H18" s="13" t="s">
        <v>167</v>
      </c>
      <c r="I18" s="13" t="s">
        <v>204</v>
      </c>
    </row>
    <row r="19" spans="2:9">
      <c r="B19" s="13" t="s">
        <v>205</v>
      </c>
      <c r="C19" s="13" t="s">
        <v>206</v>
      </c>
      <c r="D19" s="13" t="s">
        <v>164</v>
      </c>
      <c r="E19" s="13" t="s">
        <v>165</v>
      </c>
      <c r="F19" s="13" t="s">
        <v>165</v>
      </c>
      <c r="G19" s="13" t="s">
        <v>166</v>
      </c>
      <c r="H19" s="13" t="s">
        <v>167</v>
      </c>
      <c r="I19" s="13" t="s">
        <v>207</v>
      </c>
    </row>
    <row r="20" spans="2:9">
      <c r="B20" s="13" t="s">
        <v>208</v>
      </c>
      <c r="C20" s="13" t="s">
        <v>209</v>
      </c>
      <c r="D20" s="13" t="s">
        <v>164</v>
      </c>
      <c r="E20" s="13" t="s">
        <v>165</v>
      </c>
      <c r="F20" s="13" t="s">
        <v>165</v>
      </c>
      <c r="G20" s="13" t="s">
        <v>166</v>
      </c>
      <c r="H20" s="13" t="s">
        <v>167</v>
      </c>
      <c r="I20" s="13" t="s">
        <v>210</v>
      </c>
    </row>
    <row r="21" spans="2:9">
      <c r="B21" s="13" t="s">
        <v>211</v>
      </c>
      <c r="C21" s="13" t="s">
        <v>212</v>
      </c>
      <c r="D21" s="13" t="s">
        <v>164</v>
      </c>
      <c r="E21" s="13" t="s">
        <v>165</v>
      </c>
      <c r="F21" s="13" t="s">
        <v>165</v>
      </c>
      <c r="G21" s="13" t="s">
        <v>166</v>
      </c>
      <c r="H21" s="13" t="s">
        <v>167</v>
      </c>
      <c r="I21" s="13" t="s">
        <v>213</v>
      </c>
    </row>
    <row r="22" spans="2:9">
      <c r="B22" s="13" t="s">
        <v>214</v>
      </c>
      <c r="C22" s="13" t="s">
        <v>215</v>
      </c>
      <c r="D22" s="13" t="s">
        <v>183</v>
      </c>
      <c r="E22" s="13" t="s">
        <v>165</v>
      </c>
      <c r="F22" s="13" t="s">
        <v>165</v>
      </c>
      <c r="G22" s="13" t="s">
        <v>165</v>
      </c>
      <c r="H22" s="13" t="s">
        <v>165</v>
      </c>
      <c r="I22" s="13" t="s">
        <v>216</v>
      </c>
    </row>
    <row r="23" spans="2:9">
      <c r="B23" s="13" t="s">
        <v>217</v>
      </c>
      <c r="C23" s="13" t="s">
        <v>218</v>
      </c>
      <c r="D23" s="13" t="s">
        <v>164</v>
      </c>
      <c r="E23" s="13" t="s">
        <v>165</v>
      </c>
      <c r="F23" s="13" t="s">
        <v>165</v>
      </c>
      <c r="G23" s="13" t="s">
        <v>166</v>
      </c>
      <c r="H23" s="13" t="s">
        <v>167</v>
      </c>
      <c r="I23" s="13" t="s">
        <v>219</v>
      </c>
    </row>
    <row r="24" spans="2:9">
      <c r="B24" s="13" t="s">
        <v>220</v>
      </c>
      <c r="C24" s="13" t="s">
        <v>221</v>
      </c>
      <c r="D24" s="13" t="s">
        <v>164</v>
      </c>
      <c r="E24" s="13" t="s">
        <v>165</v>
      </c>
      <c r="F24" s="13" t="s">
        <v>165</v>
      </c>
      <c r="G24" s="13" t="s">
        <v>166</v>
      </c>
      <c r="H24" s="13" t="s">
        <v>167</v>
      </c>
      <c r="I24" s="13" t="s">
        <v>222</v>
      </c>
    </row>
    <row r="25" spans="2:9">
      <c r="B25" s="13" t="s">
        <v>223</v>
      </c>
      <c r="C25" s="13" t="s">
        <v>224</v>
      </c>
      <c r="D25" s="13" t="s">
        <v>164</v>
      </c>
      <c r="E25" s="13" t="s">
        <v>165</v>
      </c>
      <c r="F25" s="13" t="s">
        <v>165</v>
      </c>
      <c r="G25" s="13" t="s">
        <v>166</v>
      </c>
      <c r="H25" s="13" t="s">
        <v>167</v>
      </c>
      <c r="I25" s="13" t="s">
        <v>225</v>
      </c>
    </row>
    <row r="27" spans="2:9">
      <c r="B27" s="9" t="s">
        <v>164</v>
      </c>
      <c r="C27" s="9">
        <f>COUNTIF(D6:D25,"Compliant")</f>
        <v>17</v>
      </c>
    </row>
    <row r="28" spans="2:9">
      <c r="B28" s="9" t="s">
        <v>226</v>
      </c>
      <c r="C28" s="9">
        <f>COUNTA(B6:B25)</f>
        <v>20</v>
      </c>
    </row>
    <row r="29" spans="2:9">
      <c r="B29" s="9" t="s">
        <v>227</v>
      </c>
      <c r="C29" s="9">
        <f>COUNTIF(E6:E25,"Yes")</f>
        <v>20</v>
      </c>
    </row>
    <row r="30" spans="2:9">
      <c r="B30" s="9" t="s">
        <v>228</v>
      </c>
      <c r="C30" s="9">
        <f>COUNTIF(F6:F25,"Yes")</f>
        <v>20</v>
      </c>
    </row>
    <row r="31" spans="2:9">
      <c r="B31" s="9" t="s">
        <v>229</v>
      </c>
      <c r="C31" s="9">
        <f>COUNTIF(G6:G25,"Yes")</f>
        <v>3</v>
      </c>
    </row>
    <row r="32" spans="2:9">
      <c r="B32" s="9" t="s">
        <v>230</v>
      </c>
      <c r="C32" s="9">
        <f>COUNTIF(H6:H25,"Yes")</f>
        <v>3</v>
      </c>
    </row>
  </sheetData>
  <mergeCells count="2">
    <mergeCell ref="A2:H2"/>
    <mergeCell ref="B3:I3"/>
  </mergeCells>
  <dataValidations count="2">
    <dataValidation type="list" allowBlank="1" sqref="D6:D25" xr:uid="{00000000-0002-0000-0500-000000000000}">
      <formula1>"Compliant,Non-compliant,Under Review"</formula1>
      <formula2>0</formula2>
    </dataValidation>
    <dataValidation type="list" allowBlank="1" sqref="E6:H25" xr:uid="{00000000-0002-0000-0500-000001000000}">
      <formula1>"Yes,No,N/A"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H30"/>
  <sheetViews>
    <sheetView showGridLines="0" zoomScaleNormal="100" workbookViewId="0">
      <pane xSplit="2" ySplit="5" topLeftCell="C6" activePane="bottomRight" state="frozen"/>
      <selection pane="bottomRight" activeCell="B6" sqref="B6"/>
      <selection pane="bottomLeft" activeCell="A7" sqref="A7"/>
      <selection pane="topRight" activeCell="C1" sqref="C1"/>
    </sheetView>
  </sheetViews>
  <sheetFormatPr defaultColWidth="8.7109375" defaultRowHeight="14.45"/>
  <cols>
    <col min="1" max="1" width="3" customWidth="1"/>
    <col min="2" max="2" width="30" customWidth="1"/>
    <col min="3" max="3" width="16" customWidth="1"/>
    <col min="4" max="5" width="20" customWidth="1"/>
    <col min="6" max="6" width="22" customWidth="1"/>
    <col min="7" max="7" width="32" customWidth="1"/>
    <col min="8" max="8" width="24" customWidth="1"/>
  </cols>
  <sheetData>
    <row r="2" spans="1:8" ht="25.5" customHeight="1">
      <c r="A2" s="19" t="s">
        <v>231</v>
      </c>
      <c r="B2" s="19"/>
      <c r="C2" s="19"/>
      <c r="D2" s="19"/>
      <c r="E2" s="19"/>
      <c r="F2" s="19"/>
      <c r="G2" s="19"/>
    </row>
    <row r="3" spans="1:8">
      <c r="B3" s="26" t="s">
        <v>232</v>
      </c>
      <c r="C3" s="26"/>
      <c r="D3" s="26"/>
      <c r="E3" s="26"/>
      <c r="F3" s="26"/>
      <c r="G3" s="26"/>
      <c r="H3" s="26"/>
    </row>
    <row r="5" spans="1:8" ht="31.5" customHeight="1">
      <c r="B5" s="1" t="s">
        <v>233</v>
      </c>
      <c r="C5" s="1" t="s">
        <v>46</v>
      </c>
      <c r="D5" s="1" t="s">
        <v>234</v>
      </c>
      <c r="E5" s="1" t="s">
        <v>235</v>
      </c>
      <c r="F5" s="1" t="s">
        <v>236</v>
      </c>
      <c r="G5" s="1" t="s">
        <v>237</v>
      </c>
      <c r="H5" s="1" t="s">
        <v>83</v>
      </c>
    </row>
    <row r="6" spans="1:8">
      <c r="B6" s="13" t="s">
        <v>238</v>
      </c>
      <c r="C6" s="13" t="s">
        <v>56</v>
      </c>
      <c r="D6" s="13" t="s">
        <v>239</v>
      </c>
      <c r="E6" s="13">
        <v>180</v>
      </c>
      <c r="F6" s="13">
        <v>95</v>
      </c>
      <c r="G6" s="13" t="s">
        <v>240</v>
      </c>
      <c r="H6" s="13" t="s">
        <v>241</v>
      </c>
    </row>
    <row r="7" spans="1:8">
      <c r="B7" s="13" t="s">
        <v>242</v>
      </c>
      <c r="C7" s="13" t="s">
        <v>56</v>
      </c>
      <c r="D7" s="13" t="s">
        <v>239</v>
      </c>
      <c r="E7" s="13">
        <v>140</v>
      </c>
      <c r="F7" s="13">
        <v>75</v>
      </c>
      <c r="G7" s="13" t="s">
        <v>243</v>
      </c>
      <c r="H7" s="13" t="s">
        <v>244</v>
      </c>
    </row>
    <row r="8" spans="1:8">
      <c r="B8" s="13" t="s">
        <v>245</v>
      </c>
      <c r="C8" s="13" t="s">
        <v>56</v>
      </c>
      <c r="D8" s="13" t="s">
        <v>246</v>
      </c>
      <c r="E8" s="13">
        <v>120</v>
      </c>
      <c r="F8" s="13">
        <v>45</v>
      </c>
      <c r="G8" s="13" t="s">
        <v>247</v>
      </c>
      <c r="H8" s="13" t="s">
        <v>248</v>
      </c>
    </row>
    <row r="9" spans="1:8">
      <c r="B9" s="13" t="s">
        <v>249</v>
      </c>
      <c r="C9" s="13" t="s">
        <v>57</v>
      </c>
      <c r="D9" s="13" t="s">
        <v>239</v>
      </c>
      <c r="E9" s="13">
        <v>130</v>
      </c>
      <c r="F9" s="13">
        <v>70</v>
      </c>
      <c r="G9" s="13" t="s">
        <v>250</v>
      </c>
      <c r="H9" s="13" t="s">
        <v>251</v>
      </c>
    </row>
    <row r="10" spans="1:8">
      <c r="B10" s="13" t="s">
        <v>252</v>
      </c>
      <c r="C10" s="13" t="s">
        <v>57</v>
      </c>
      <c r="D10" s="13" t="s">
        <v>246</v>
      </c>
      <c r="E10" s="13">
        <v>95</v>
      </c>
      <c r="F10" s="13">
        <v>30</v>
      </c>
      <c r="G10" s="13" t="s">
        <v>253</v>
      </c>
      <c r="H10" s="13" t="s">
        <v>254</v>
      </c>
    </row>
    <row r="11" spans="1:8">
      <c r="B11" s="13" t="s">
        <v>255</v>
      </c>
      <c r="C11" s="13" t="s">
        <v>58</v>
      </c>
      <c r="D11" s="13" t="s">
        <v>239</v>
      </c>
      <c r="E11" s="13">
        <v>110</v>
      </c>
      <c r="F11" s="13">
        <v>65</v>
      </c>
      <c r="G11" s="13" t="s">
        <v>256</v>
      </c>
      <c r="H11" s="13" t="s">
        <v>257</v>
      </c>
    </row>
    <row r="12" spans="1:8">
      <c r="B12" s="13" t="s">
        <v>258</v>
      </c>
      <c r="C12" s="13" t="s">
        <v>58</v>
      </c>
      <c r="D12" s="13" t="s">
        <v>239</v>
      </c>
      <c r="E12" s="13">
        <v>170</v>
      </c>
      <c r="F12" s="13">
        <v>100</v>
      </c>
      <c r="G12" s="13" t="s">
        <v>259</v>
      </c>
      <c r="H12" s="13" t="s">
        <v>260</v>
      </c>
    </row>
    <row r="13" spans="1:8">
      <c r="B13" s="13" t="s">
        <v>261</v>
      </c>
      <c r="C13" s="13" t="s">
        <v>59</v>
      </c>
      <c r="D13" s="13" t="s">
        <v>239</v>
      </c>
      <c r="E13" s="13">
        <v>85</v>
      </c>
      <c r="F13" s="13">
        <v>45</v>
      </c>
      <c r="G13" s="13" t="s">
        <v>262</v>
      </c>
      <c r="H13" s="13" t="s">
        <v>263</v>
      </c>
    </row>
    <row r="14" spans="1:8">
      <c r="B14" s="13" t="s">
        <v>264</v>
      </c>
      <c r="C14" s="13" t="s">
        <v>59</v>
      </c>
      <c r="D14" s="13" t="s">
        <v>246</v>
      </c>
      <c r="E14" s="13">
        <v>70</v>
      </c>
      <c r="F14" s="13">
        <v>25</v>
      </c>
      <c r="G14" s="13" t="s">
        <v>265</v>
      </c>
      <c r="H14" s="13" t="s">
        <v>266</v>
      </c>
    </row>
    <row r="15" spans="1:8">
      <c r="B15" s="13" t="s">
        <v>267</v>
      </c>
      <c r="C15" s="13" t="s">
        <v>60</v>
      </c>
      <c r="D15" s="13" t="s">
        <v>239</v>
      </c>
      <c r="E15" s="13">
        <v>100</v>
      </c>
      <c r="F15" s="13">
        <v>60</v>
      </c>
      <c r="G15" s="13" t="s">
        <v>268</v>
      </c>
      <c r="H15" s="13" t="s">
        <v>269</v>
      </c>
    </row>
    <row r="16" spans="1:8">
      <c r="B16" s="13" t="s">
        <v>270</v>
      </c>
      <c r="C16" s="13" t="s">
        <v>61</v>
      </c>
      <c r="D16" s="13" t="s">
        <v>239</v>
      </c>
      <c r="E16" s="13">
        <v>80</v>
      </c>
      <c r="F16" s="13">
        <v>40</v>
      </c>
      <c r="G16" s="13" t="s">
        <v>271</v>
      </c>
      <c r="H16" s="13" t="s">
        <v>272</v>
      </c>
    </row>
    <row r="17" spans="2:8">
      <c r="B17" s="13" t="s">
        <v>273</v>
      </c>
      <c r="C17" s="13" t="s">
        <v>62</v>
      </c>
      <c r="D17" s="13" t="s">
        <v>246</v>
      </c>
      <c r="E17" s="13">
        <v>75</v>
      </c>
      <c r="F17" s="13">
        <v>28</v>
      </c>
      <c r="G17" s="13" t="s">
        <v>274</v>
      </c>
      <c r="H17" s="13" t="s">
        <v>275</v>
      </c>
    </row>
    <row r="18" spans="2:8">
      <c r="B18" s="13" t="s">
        <v>276</v>
      </c>
      <c r="C18" s="13" t="s">
        <v>63</v>
      </c>
      <c r="D18" s="13" t="s">
        <v>239</v>
      </c>
      <c r="E18" s="13">
        <v>95</v>
      </c>
      <c r="F18" s="13">
        <v>50</v>
      </c>
      <c r="G18" s="13" t="s">
        <v>277</v>
      </c>
      <c r="H18" s="13" t="s">
        <v>278</v>
      </c>
    </row>
    <row r="19" spans="2:8">
      <c r="B19" s="13" t="s">
        <v>279</v>
      </c>
      <c r="C19" s="13" t="s">
        <v>66</v>
      </c>
      <c r="D19" s="13" t="s">
        <v>239</v>
      </c>
      <c r="E19" s="13">
        <v>85</v>
      </c>
      <c r="F19" s="13">
        <v>42</v>
      </c>
      <c r="G19" s="13" t="s">
        <v>280</v>
      </c>
      <c r="H19" s="13" t="s">
        <v>281</v>
      </c>
    </row>
    <row r="20" spans="2:8">
      <c r="B20" s="13" t="s">
        <v>282</v>
      </c>
      <c r="C20" s="13" t="s">
        <v>65</v>
      </c>
      <c r="D20" s="13" t="s">
        <v>246</v>
      </c>
      <c r="E20" s="13">
        <v>70</v>
      </c>
      <c r="F20" s="13">
        <v>22</v>
      </c>
      <c r="G20" s="13" t="s">
        <v>283</v>
      </c>
      <c r="H20" s="13" t="s">
        <v>284</v>
      </c>
    </row>
    <row r="21" spans="2:8">
      <c r="B21" s="13" t="s">
        <v>285</v>
      </c>
      <c r="C21" s="13" t="s">
        <v>67</v>
      </c>
      <c r="D21" s="13" t="s">
        <v>246</v>
      </c>
      <c r="E21" s="13">
        <v>60</v>
      </c>
      <c r="F21" s="13">
        <v>18</v>
      </c>
      <c r="G21" s="13" t="s">
        <v>286</v>
      </c>
      <c r="H21" s="13" t="s">
        <v>287</v>
      </c>
    </row>
    <row r="22" spans="2:8">
      <c r="B22" s="13" t="s">
        <v>288</v>
      </c>
      <c r="C22" s="13" t="s">
        <v>69</v>
      </c>
      <c r="D22" s="13" t="s">
        <v>246</v>
      </c>
      <c r="E22" s="13">
        <v>55</v>
      </c>
      <c r="F22" s="13">
        <v>15</v>
      </c>
      <c r="G22" s="13" t="s">
        <v>289</v>
      </c>
      <c r="H22" s="13" t="s">
        <v>290</v>
      </c>
    </row>
    <row r="23" spans="2:8">
      <c r="B23" s="13" t="s">
        <v>291</v>
      </c>
      <c r="C23" s="13" t="s">
        <v>64</v>
      </c>
      <c r="D23" s="13" t="s">
        <v>239</v>
      </c>
      <c r="E23" s="13">
        <v>75</v>
      </c>
      <c r="F23" s="13">
        <v>36</v>
      </c>
      <c r="G23" s="13" t="s">
        <v>292</v>
      </c>
      <c r="H23" s="13" t="s">
        <v>293</v>
      </c>
    </row>
    <row r="24" spans="2:8">
      <c r="B24" s="13" t="s">
        <v>294</v>
      </c>
      <c r="C24" s="13" t="s">
        <v>72</v>
      </c>
      <c r="D24" s="13" t="s">
        <v>246</v>
      </c>
      <c r="E24" s="13">
        <v>50</v>
      </c>
      <c r="F24" s="13">
        <v>14</v>
      </c>
      <c r="G24" s="13" t="s">
        <v>295</v>
      </c>
      <c r="H24" s="13" t="s">
        <v>296</v>
      </c>
    </row>
    <row r="25" spans="2:8">
      <c r="B25" s="13" t="s">
        <v>297</v>
      </c>
      <c r="C25" s="13" t="s">
        <v>75</v>
      </c>
      <c r="D25" s="13" t="s">
        <v>246</v>
      </c>
      <c r="E25" s="13">
        <v>45</v>
      </c>
      <c r="F25" s="13">
        <v>12</v>
      </c>
      <c r="G25" s="13" t="s">
        <v>298</v>
      </c>
      <c r="H25" s="13" t="s">
        <v>299</v>
      </c>
    </row>
    <row r="27" spans="2:8">
      <c r="B27" s="9" t="s">
        <v>300</v>
      </c>
      <c r="C27" s="9">
        <f>COUNTA(B6:B25)</f>
        <v>20</v>
      </c>
    </row>
    <row r="28" spans="2:8">
      <c r="B28" s="9" t="s">
        <v>301</v>
      </c>
      <c r="C28" s="9">
        <f>COUNTIF(D6:D25,"Formalized")+COUNTIF(D6:D25,"Remediated")</f>
        <v>0</v>
      </c>
    </row>
    <row r="29" spans="2:8">
      <c r="B29" s="9" t="s">
        <v>302</v>
      </c>
      <c r="C29" s="9">
        <f>SUM(E6:E25)</f>
        <v>1890</v>
      </c>
    </row>
    <row r="30" spans="2:8">
      <c r="B30" s="9" t="s">
        <v>303</v>
      </c>
      <c r="C30" s="9">
        <f>SUM(F6:F25)</f>
        <v>887</v>
      </c>
    </row>
  </sheetData>
  <mergeCells count="2">
    <mergeCell ref="A2:G2"/>
    <mergeCell ref="B3:H3"/>
  </mergeCells>
  <dataValidations count="1">
    <dataValidation type="list" allowBlank="1" sqref="D6:D25" xr:uid="{00000000-0002-0000-0600-000000000000}">
      <formula1>"Active (Not Formalized),Partially Formalized,Formalized,Remediated"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I29"/>
  <sheetViews>
    <sheetView showGridLines="0" zoomScaleNormal="100" workbookViewId="0">
      <pane xSplit="2" ySplit="5" topLeftCell="C6" activePane="bottomRight" state="frozen"/>
      <selection pane="bottomRight" activeCell="B6" sqref="B6"/>
      <selection pane="bottomLeft" activeCell="A7" sqref="A7"/>
      <selection pane="topRight" activeCell="C1" sqref="C1"/>
    </sheetView>
  </sheetViews>
  <sheetFormatPr defaultColWidth="8.7109375" defaultRowHeight="14.45"/>
  <cols>
    <col min="1" max="1" width="3" customWidth="1"/>
    <col min="2" max="2" width="28" customWidth="1"/>
    <col min="3" max="3" width="16" customWidth="1"/>
    <col min="4" max="4" width="18" customWidth="1"/>
    <col min="5" max="5" width="14" customWidth="1"/>
    <col min="6" max="6" width="22" customWidth="1"/>
    <col min="7" max="7" width="20" customWidth="1"/>
    <col min="8" max="8" width="18" customWidth="1"/>
    <col min="9" max="9" width="30" customWidth="1"/>
  </cols>
  <sheetData>
    <row r="2" spans="1:9" ht="25.5" customHeight="1">
      <c r="A2" s="19" t="s">
        <v>304</v>
      </c>
      <c r="B2" s="19"/>
      <c r="C2" s="19"/>
      <c r="D2" s="19"/>
      <c r="E2" s="19"/>
      <c r="F2" s="19"/>
      <c r="G2" s="19"/>
      <c r="H2" s="19"/>
    </row>
    <row r="3" spans="1:9">
      <c r="B3" s="26" t="s">
        <v>305</v>
      </c>
      <c r="C3" s="26"/>
      <c r="D3" s="26"/>
      <c r="E3" s="26"/>
      <c r="F3" s="26"/>
      <c r="G3" s="26"/>
      <c r="H3" s="26"/>
      <c r="I3" s="26"/>
    </row>
    <row r="5" spans="1:9" ht="31.5" customHeight="1">
      <c r="B5" s="1" t="s">
        <v>306</v>
      </c>
      <c r="C5" s="1" t="s">
        <v>46</v>
      </c>
      <c r="D5" s="1" t="s">
        <v>307</v>
      </c>
      <c r="E5" s="1" t="s">
        <v>308</v>
      </c>
      <c r="F5" s="1" t="s">
        <v>309</v>
      </c>
      <c r="G5" s="1" t="s">
        <v>310</v>
      </c>
      <c r="H5" s="1" t="s">
        <v>311</v>
      </c>
      <c r="I5" s="1" t="s">
        <v>83</v>
      </c>
    </row>
    <row r="6" spans="1:9">
      <c r="B6" s="13" t="s">
        <v>238</v>
      </c>
      <c r="C6" s="13" t="s">
        <v>56</v>
      </c>
      <c r="D6" s="13" t="s">
        <v>312</v>
      </c>
      <c r="E6" s="17">
        <v>46037</v>
      </c>
      <c r="F6" s="13" t="s">
        <v>313</v>
      </c>
      <c r="G6" s="13" t="s">
        <v>165</v>
      </c>
      <c r="H6" s="13">
        <v>185</v>
      </c>
      <c r="I6" s="13" t="s">
        <v>314</v>
      </c>
    </row>
    <row r="7" spans="1:9">
      <c r="B7" s="13" t="s">
        <v>242</v>
      </c>
      <c r="C7" s="13" t="s">
        <v>56</v>
      </c>
      <c r="D7" s="13" t="s">
        <v>315</v>
      </c>
      <c r="E7" s="17">
        <v>46050</v>
      </c>
      <c r="F7" s="13" t="s">
        <v>316</v>
      </c>
      <c r="G7" s="13" t="s">
        <v>165</v>
      </c>
      <c r="H7" s="13">
        <v>162</v>
      </c>
      <c r="I7" s="13" t="s">
        <v>317</v>
      </c>
    </row>
    <row r="8" spans="1:9">
      <c r="B8" s="13" t="s">
        <v>245</v>
      </c>
      <c r="C8" s="13" t="s">
        <v>56</v>
      </c>
      <c r="D8" s="13" t="s">
        <v>318</v>
      </c>
      <c r="E8" s="17">
        <v>46065</v>
      </c>
      <c r="F8" s="13" t="s">
        <v>313</v>
      </c>
      <c r="G8" s="13" t="s">
        <v>165</v>
      </c>
      <c r="H8" s="13">
        <v>148</v>
      </c>
      <c r="I8" s="13" t="s">
        <v>319</v>
      </c>
    </row>
    <row r="9" spans="1:9">
      <c r="B9" s="13" t="s">
        <v>249</v>
      </c>
      <c r="C9" s="13" t="s">
        <v>57</v>
      </c>
      <c r="D9" s="13" t="s">
        <v>312</v>
      </c>
      <c r="E9" s="17">
        <v>46078</v>
      </c>
      <c r="F9" s="13" t="s">
        <v>320</v>
      </c>
      <c r="G9" s="13" t="s">
        <v>165</v>
      </c>
      <c r="H9" s="13">
        <v>176</v>
      </c>
      <c r="I9" s="13" t="s">
        <v>321</v>
      </c>
    </row>
    <row r="10" spans="1:9">
      <c r="B10" s="13" t="s">
        <v>252</v>
      </c>
      <c r="C10" s="13" t="s">
        <v>57</v>
      </c>
      <c r="D10" s="13" t="s">
        <v>315</v>
      </c>
      <c r="E10" s="17">
        <v>46091</v>
      </c>
      <c r="F10" s="13" t="s">
        <v>313</v>
      </c>
      <c r="G10" s="13" t="s">
        <v>166</v>
      </c>
      <c r="H10" s="13">
        <v>0</v>
      </c>
      <c r="I10" s="13" t="s">
        <v>322</v>
      </c>
    </row>
    <row r="11" spans="1:9">
      <c r="B11" s="13" t="s">
        <v>255</v>
      </c>
      <c r="C11" s="13" t="s">
        <v>58</v>
      </c>
      <c r="D11" s="13" t="s">
        <v>323</v>
      </c>
      <c r="E11" s="17">
        <v>46105</v>
      </c>
      <c r="F11" s="13" t="s">
        <v>313</v>
      </c>
      <c r="G11" s="13" t="s">
        <v>165</v>
      </c>
      <c r="H11" s="13">
        <v>138</v>
      </c>
      <c r="I11" s="13" t="s">
        <v>324</v>
      </c>
    </row>
    <row r="12" spans="1:9">
      <c r="B12" s="13" t="s">
        <v>258</v>
      </c>
      <c r="C12" s="13" t="s">
        <v>58</v>
      </c>
      <c r="D12" s="13" t="s">
        <v>312</v>
      </c>
      <c r="E12" s="17">
        <v>46120</v>
      </c>
      <c r="F12" s="13" t="s">
        <v>325</v>
      </c>
      <c r="G12" s="13" t="s">
        <v>165</v>
      </c>
      <c r="H12" s="13">
        <v>196</v>
      </c>
      <c r="I12" s="13" t="s">
        <v>326</v>
      </c>
    </row>
    <row r="13" spans="1:9">
      <c r="B13" s="13" t="s">
        <v>261</v>
      </c>
      <c r="C13" s="13" t="s">
        <v>59</v>
      </c>
      <c r="D13" s="13" t="s">
        <v>315</v>
      </c>
      <c r="E13" s="17">
        <v>46132</v>
      </c>
      <c r="F13" s="13" t="s">
        <v>313</v>
      </c>
      <c r="G13" s="13" t="s">
        <v>165</v>
      </c>
      <c r="H13" s="13">
        <v>122</v>
      </c>
      <c r="I13" s="13" t="s">
        <v>327</v>
      </c>
    </row>
    <row r="14" spans="1:9">
      <c r="B14" s="13" t="s">
        <v>264</v>
      </c>
      <c r="C14" s="13" t="s">
        <v>59</v>
      </c>
      <c r="D14" s="13" t="s">
        <v>328</v>
      </c>
      <c r="E14" s="17">
        <v>46147</v>
      </c>
      <c r="F14" s="13" t="s">
        <v>313</v>
      </c>
      <c r="G14" s="13" t="s">
        <v>166</v>
      </c>
      <c r="H14" s="13">
        <v>0</v>
      </c>
      <c r="I14" s="13" t="s">
        <v>329</v>
      </c>
    </row>
    <row r="15" spans="1:9">
      <c r="B15" s="13" t="s">
        <v>267</v>
      </c>
      <c r="C15" s="13" t="s">
        <v>60</v>
      </c>
      <c r="D15" s="13" t="s">
        <v>318</v>
      </c>
      <c r="E15" s="17">
        <v>46160</v>
      </c>
      <c r="F15" s="13" t="s">
        <v>330</v>
      </c>
      <c r="G15" s="13" t="s">
        <v>165</v>
      </c>
      <c r="H15" s="13">
        <v>164</v>
      </c>
      <c r="I15" s="13" t="s">
        <v>331</v>
      </c>
    </row>
    <row r="16" spans="1:9">
      <c r="B16" s="13" t="s">
        <v>270</v>
      </c>
      <c r="C16" s="13" t="s">
        <v>61</v>
      </c>
      <c r="D16" s="13" t="s">
        <v>312</v>
      </c>
      <c r="E16" s="17">
        <v>46175</v>
      </c>
      <c r="F16" s="13" t="s">
        <v>313</v>
      </c>
      <c r="G16" s="13" t="s">
        <v>165</v>
      </c>
      <c r="H16" s="13">
        <v>141</v>
      </c>
      <c r="I16" s="13" t="s">
        <v>332</v>
      </c>
    </row>
    <row r="17" spans="2:9">
      <c r="B17" s="13" t="s">
        <v>273</v>
      </c>
      <c r="C17" s="13" t="s">
        <v>62</v>
      </c>
      <c r="D17" s="13" t="s">
        <v>315</v>
      </c>
      <c r="E17" s="17">
        <v>46188</v>
      </c>
      <c r="F17" s="13" t="s">
        <v>313</v>
      </c>
      <c r="G17" s="13" t="s">
        <v>166</v>
      </c>
      <c r="H17" s="13">
        <v>0</v>
      </c>
      <c r="I17" s="13" t="s">
        <v>333</v>
      </c>
    </row>
    <row r="18" spans="2:9">
      <c r="B18" s="13" t="s">
        <v>276</v>
      </c>
      <c r="C18" s="13" t="s">
        <v>63</v>
      </c>
      <c r="D18" s="13" t="s">
        <v>328</v>
      </c>
      <c r="E18" s="17">
        <v>46201</v>
      </c>
      <c r="F18" s="13" t="s">
        <v>316</v>
      </c>
      <c r="G18" s="13" t="s">
        <v>165</v>
      </c>
      <c r="H18" s="13">
        <v>132</v>
      </c>
      <c r="I18" s="13" t="s">
        <v>334</v>
      </c>
    </row>
    <row r="19" spans="2:9">
      <c r="B19" s="13" t="s">
        <v>279</v>
      </c>
      <c r="C19" s="13" t="s">
        <v>66</v>
      </c>
      <c r="D19" s="13" t="s">
        <v>318</v>
      </c>
      <c r="E19" s="17">
        <v>46215</v>
      </c>
      <c r="F19" s="13" t="s">
        <v>313</v>
      </c>
      <c r="G19" s="13" t="s">
        <v>165</v>
      </c>
      <c r="H19" s="13">
        <v>126</v>
      </c>
      <c r="I19" s="13" t="s">
        <v>335</v>
      </c>
    </row>
    <row r="20" spans="2:9">
      <c r="B20" s="13" t="s">
        <v>282</v>
      </c>
      <c r="C20" s="13" t="s">
        <v>65</v>
      </c>
      <c r="D20" s="13" t="s">
        <v>315</v>
      </c>
      <c r="E20" s="17">
        <v>46229</v>
      </c>
      <c r="F20" s="13" t="s">
        <v>313</v>
      </c>
      <c r="G20" s="13" t="s">
        <v>166</v>
      </c>
      <c r="H20" s="13">
        <v>0</v>
      </c>
      <c r="I20" s="13" t="s">
        <v>336</v>
      </c>
    </row>
    <row r="21" spans="2:9">
      <c r="B21" s="13" t="s">
        <v>285</v>
      </c>
      <c r="C21" s="13" t="s">
        <v>67</v>
      </c>
      <c r="D21" s="13" t="s">
        <v>312</v>
      </c>
      <c r="E21" s="17">
        <v>46243</v>
      </c>
      <c r="F21" s="13" t="s">
        <v>337</v>
      </c>
      <c r="G21" s="13" t="s">
        <v>165</v>
      </c>
      <c r="H21" s="13">
        <v>118</v>
      </c>
      <c r="I21" s="13" t="s">
        <v>338</v>
      </c>
    </row>
    <row r="22" spans="2:9">
      <c r="B22" s="13" t="s">
        <v>288</v>
      </c>
      <c r="C22" s="13" t="s">
        <v>69</v>
      </c>
      <c r="D22" s="13" t="s">
        <v>339</v>
      </c>
      <c r="E22" s="17">
        <v>46257</v>
      </c>
      <c r="F22" s="13" t="s">
        <v>313</v>
      </c>
      <c r="G22" s="13" t="s">
        <v>166</v>
      </c>
      <c r="H22" s="13">
        <v>0</v>
      </c>
      <c r="I22" s="13" t="s">
        <v>340</v>
      </c>
    </row>
    <row r="23" spans="2:9">
      <c r="B23" s="13" t="s">
        <v>291</v>
      </c>
      <c r="C23" s="13" t="s">
        <v>64</v>
      </c>
      <c r="D23" s="13" t="s">
        <v>312</v>
      </c>
      <c r="E23" s="17">
        <v>46271</v>
      </c>
      <c r="F23" s="13" t="s">
        <v>313</v>
      </c>
      <c r="G23" s="13" t="s">
        <v>165</v>
      </c>
      <c r="H23" s="13">
        <v>129</v>
      </c>
      <c r="I23" s="13" t="s">
        <v>341</v>
      </c>
    </row>
    <row r="24" spans="2:9">
      <c r="B24" s="13" t="s">
        <v>294</v>
      </c>
      <c r="C24" s="13" t="s">
        <v>72</v>
      </c>
      <c r="D24" s="13" t="s">
        <v>328</v>
      </c>
      <c r="E24" s="17">
        <v>46285</v>
      </c>
      <c r="F24" s="13" t="s">
        <v>313</v>
      </c>
      <c r="G24" s="13" t="s">
        <v>165</v>
      </c>
      <c r="H24" s="13">
        <v>111</v>
      </c>
      <c r="I24" s="13" t="s">
        <v>342</v>
      </c>
    </row>
    <row r="25" spans="2:9">
      <c r="B25" s="13" t="s">
        <v>297</v>
      </c>
      <c r="C25" s="13" t="s">
        <v>75</v>
      </c>
      <c r="D25" s="13" t="s">
        <v>315</v>
      </c>
      <c r="E25" s="17">
        <v>46299</v>
      </c>
      <c r="F25" s="13" t="s">
        <v>313</v>
      </c>
      <c r="G25" s="13" t="s">
        <v>166</v>
      </c>
      <c r="H25" s="13">
        <v>0</v>
      </c>
      <c r="I25" s="13" t="s">
        <v>343</v>
      </c>
    </row>
    <row r="27" spans="2:9">
      <c r="B27" s="9" t="s">
        <v>344</v>
      </c>
      <c r="C27" s="9">
        <f>SUMPRODUCT((B6:B25&lt;&gt;"")/COUNTIF(B6:B25,B6:B25&amp;""))</f>
        <v>20</v>
      </c>
    </row>
    <row r="28" spans="2:9">
      <c r="B28" s="9" t="s">
        <v>345</v>
      </c>
      <c r="C28" s="9">
        <f>COUNTIF(F6:F25,"Yes")</f>
        <v>0</v>
      </c>
    </row>
    <row r="29" spans="2:9">
      <c r="B29" s="9" t="s">
        <v>346</v>
      </c>
      <c r="C29" s="9">
        <f>SUM(G6:G25)</f>
        <v>0</v>
      </c>
    </row>
  </sheetData>
  <mergeCells count="2">
    <mergeCell ref="A2:H2"/>
    <mergeCell ref="B3:I3"/>
  </mergeCells>
  <dataValidations count="3">
    <dataValidation type="list" allowBlank="1" sqref="D6:D25" xr:uid="{00000000-0002-0000-0700-000000000000}">
      <formula1>"Soil,Water,Air,Soil + Water,Soil + Water + Air"</formula1>
      <formula2>0</formula2>
    </dataValidation>
    <dataValidation type="list" allowBlank="1" sqref="E6:E25" xr:uid="{00000000-0002-0000-0700-000001000000}">
      <formula1>"Within Limit,Exceeds Limit,Pending Analysis"</formula1>
      <formula2>0</formula2>
    </dataValidation>
    <dataValidation type="list" allowBlank="1" sqref="F6:F25" xr:uid="{00000000-0002-0000-0700-000002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I29"/>
  <sheetViews>
    <sheetView showGridLines="0" zoomScaleNormal="100" workbookViewId="0">
      <pane xSplit="2" ySplit="5" topLeftCell="D6" activePane="bottomRight" state="frozen"/>
      <selection pane="bottomRight" activeCell="E14" sqref="E14"/>
      <selection pane="bottomLeft" activeCell="A7" sqref="A7"/>
      <selection pane="topRight" activeCell="C1" sqref="C1"/>
    </sheetView>
  </sheetViews>
  <sheetFormatPr defaultColWidth="8.7109375" defaultRowHeight="14.45"/>
  <cols>
    <col min="1" max="1" width="3" customWidth="1"/>
    <col min="2" max="2" width="30" customWidth="1"/>
    <col min="3" max="4" width="16" customWidth="1"/>
    <col min="5" max="6" width="22" customWidth="1"/>
    <col min="7" max="7" width="20" customWidth="1"/>
  </cols>
  <sheetData>
    <row r="2" spans="1:9" ht="25.5" customHeight="1">
      <c r="A2" s="19" t="s">
        <v>347</v>
      </c>
      <c r="B2" s="19"/>
      <c r="C2" s="19"/>
      <c r="D2" s="19"/>
      <c r="E2" s="19"/>
      <c r="F2" s="19"/>
    </row>
    <row r="3" spans="1:9">
      <c r="B3" s="26" t="s">
        <v>348</v>
      </c>
      <c r="C3" s="26"/>
      <c r="D3" s="26"/>
      <c r="E3" s="26"/>
      <c r="F3" s="26"/>
      <c r="G3" s="26"/>
    </row>
    <row r="5" spans="1:9" ht="31.5" customHeight="1">
      <c r="B5" s="1" t="s">
        <v>349</v>
      </c>
      <c r="C5" s="1" t="s">
        <v>46</v>
      </c>
      <c r="D5" s="1" t="s">
        <v>308</v>
      </c>
      <c r="E5" s="1" t="s">
        <v>350</v>
      </c>
      <c r="F5" s="1" t="s">
        <v>351</v>
      </c>
      <c r="G5" s="1" t="s">
        <v>352</v>
      </c>
    </row>
    <row r="6" spans="1:9">
      <c r="B6" s="13" t="s">
        <v>238</v>
      </c>
      <c r="C6" s="13" t="s">
        <v>56</v>
      </c>
      <c r="D6" s="13" t="s">
        <v>312</v>
      </c>
      <c r="E6" s="17">
        <v>46037</v>
      </c>
      <c r="F6" s="13" t="s">
        <v>313</v>
      </c>
      <c r="G6" s="13" t="s">
        <v>165</v>
      </c>
      <c r="H6">
        <v>185</v>
      </c>
      <c r="I6" t="s">
        <v>353</v>
      </c>
    </row>
    <row r="7" spans="1:9">
      <c r="B7" s="13" t="s">
        <v>242</v>
      </c>
      <c r="C7" s="13" t="s">
        <v>56</v>
      </c>
      <c r="D7" s="13" t="s">
        <v>315</v>
      </c>
      <c r="E7" s="17">
        <v>46050</v>
      </c>
      <c r="F7" s="13" t="s">
        <v>316</v>
      </c>
      <c r="G7" s="13" t="s">
        <v>165</v>
      </c>
      <c r="H7">
        <v>162</v>
      </c>
      <c r="I7" t="s">
        <v>354</v>
      </c>
    </row>
    <row r="8" spans="1:9">
      <c r="B8" s="13" t="s">
        <v>245</v>
      </c>
      <c r="C8" s="13" t="s">
        <v>56</v>
      </c>
      <c r="D8" s="13" t="s">
        <v>318</v>
      </c>
      <c r="E8" s="17">
        <v>46065</v>
      </c>
      <c r="F8" s="13" t="s">
        <v>313</v>
      </c>
      <c r="G8" s="13" t="s">
        <v>165</v>
      </c>
      <c r="H8">
        <v>148</v>
      </c>
      <c r="I8" t="s">
        <v>355</v>
      </c>
    </row>
    <row r="9" spans="1:9">
      <c r="B9" s="13" t="s">
        <v>356</v>
      </c>
      <c r="C9" s="13" t="s">
        <v>57</v>
      </c>
      <c r="D9" s="13" t="s">
        <v>312</v>
      </c>
      <c r="E9" s="17">
        <v>46078</v>
      </c>
      <c r="F9" s="13" t="s">
        <v>320</v>
      </c>
      <c r="G9" s="13" t="s">
        <v>165</v>
      </c>
      <c r="H9">
        <v>176</v>
      </c>
      <c r="I9" t="s">
        <v>357</v>
      </c>
    </row>
    <row r="10" spans="1:9">
      <c r="B10" s="13" t="s">
        <v>252</v>
      </c>
      <c r="C10" s="13" t="s">
        <v>57</v>
      </c>
      <c r="D10" s="13" t="s">
        <v>315</v>
      </c>
      <c r="E10" s="17">
        <v>46091</v>
      </c>
      <c r="F10" s="13" t="s">
        <v>313</v>
      </c>
      <c r="G10" s="13" t="s">
        <v>166</v>
      </c>
      <c r="H10">
        <v>0</v>
      </c>
      <c r="I10" t="s">
        <v>322</v>
      </c>
    </row>
    <row r="11" spans="1:9">
      <c r="B11" s="13" t="s">
        <v>255</v>
      </c>
      <c r="C11" s="13" t="s">
        <v>58</v>
      </c>
      <c r="D11" s="13" t="s">
        <v>323</v>
      </c>
      <c r="E11" s="17">
        <v>46105</v>
      </c>
      <c r="F11" s="13" t="s">
        <v>313</v>
      </c>
      <c r="G11" s="13" t="s">
        <v>165</v>
      </c>
      <c r="H11">
        <v>138</v>
      </c>
      <c r="I11" t="s">
        <v>358</v>
      </c>
    </row>
    <row r="12" spans="1:9">
      <c r="B12" s="13" t="s">
        <v>258</v>
      </c>
      <c r="C12" s="13" t="s">
        <v>58</v>
      </c>
      <c r="D12" s="13" t="s">
        <v>312</v>
      </c>
      <c r="E12" s="17">
        <v>46120</v>
      </c>
      <c r="F12" s="13" t="s">
        <v>325</v>
      </c>
      <c r="G12" s="13" t="s">
        <v>165</v>
      </c>
      <c r="H12">
        <v>196</v>
      </c>
      <c r="I12" t="s">
        <v>326</v>
      </c>
    </row>
    <row r="13" spans="1:9">
      <c r="B13" s="13" t="s">
        <v>261</v>
      </c>
      <c r="C13" s="13" t="s">
        <v>59</v>
      </c>
      <c r="D13" s="13" t="s">
        <v>315</v>
      </c>
      <c r="E13" s="17">
        <v>46132</v>
      </c>
      <c r="F13" s="13" t="s">
        <v>313</v>
      </c>
      <c r="G13" s="13" t="s">
        <v>165</v>
      </c>
      <c r="H13">
        <v>122</v>
      </c>
      <c r="I13" t="s">
        <v>359</v>
      </c>
    </row>
    <row r="14" spans="1:9">
      <c r="B14" s="13" t="s">
        <v>264</v>
      </c>
      <c r="C14" s="13" t="s">
        <v>59</v>
      </c>
      <c r="D14" s="13" t="s">
        <v>328</v>
      </c>
      <c r="E14" s="17">
        <v>46147</v>
      </c>
      <c r="F14" s="13" t="s">
        <v>313</v>
      </c>
      <c r="G14" s="13" t="s">
        <v>166</v>
      </c>
      <c r="H14">
        <v>0</v>
      </c>
      <c r="I14" t="s">
        <v>360</v>
      </c>
    </row>
    <row r="15" spans="1:9">
      <c r="B15" s="13" t="s">
        <v>267</v>
      </c>
      <c r="C15" s="13" t="s">
        <v>60</v>
      </c>
      <c r="D15" s="13" t="s">
        <v>318</v>
      </c>
      <c r="E15" s="17">
        <v>46160</v>
      </c>
      <c r="F15" s="13" t="s">
        <v>330</v>
      </c>
      <c r="G15" s="13" t="s">
        <v>165</v>
      </c>
      <c r="H15">
        <v>164</v>
      </c>
      <c r="I15" t="s">
        <v>361</v>
      </c>
    </row>
    <row r="16" spans="1:9">
      <c r="B16" s="13" t="s">
        <v>270</v>
      </c>
      <c r="C16" s="13" t="s">
        <v>61</v>
      </c>
      <c r="D16" s="13" t="s">
        <v>312</v>
      </c>
      <c r="E16" s="17">
        <v>46175</v>
      </c>
      <c r="F16" s="13" t="s">
        <v>313</v>
      </c>
      <c r="G16" s="13" t="s">
        <v>165</v>
      </c>
      <c r="H16">
        <v>141</v>
      </c>
      <c r="I16" t="s">
        <v>343</v>
      </c>
    </row>
    <row r="17" spans="2:9">
      <c r="B17" s="13" t="s">
        <v>273</v>
      </c>
      <c r="C17" s="13" t="s">
        <v>62</v>
      </c>
      <c r="D17" s="13" t="s">
        <v>315</v>
      </c>
      <c r="E17" s="17">
        <v>46188</v>
      </c>
      <c r="F17" s="13" t="s">
        <v>313</v>
      </c>
      <c r="G17" s="13" t="s">
        <v>166</v>
      </c>
      <c r="H17">
        <v>0</v>
      </c>
      <c r="I17" t="s">
        <v>362</v>
      </c>
    </row>
    <row r="18" spans="2:9">
      <c r="B18" s="13" t="s">
        <v>276</v>
      </c>
      <c r="C18" s="13" t="s">
        <v>63</v>
      </c>
      <c r="D18" s="13" t="s">
        <v>328</v>
      </c>
      <c r="E18" s="17">
        <v>46201</v>
      </c>
      <c r="F18" s="13" t="s">
        <v>316</v>
      </c>
      <c r="G18" s="13" t="s">
        <v>165</v>
      </c>
      <c r="H18">
        <v>132</v>
      </c>
      <c r="I18" t="s">
        <v>363</v>
      </c>
    </row>
    <row r="19" spans="2:9">
      <c r="B19" s="13" t="s">
        <v>279</v>
      </c>
      <c r="C19" s="13" t="s">
        <v>66</v>
      </c>
      <c r="D19" s="13" t="s">
        <v>318</v>
      </c>
      <c r="E19" s="17">
        <v>46215</v>
      </c>
      <c r="F19" s="13" t="s">
        <v>313</v>
      </c>
      <c r="G19" s="13" t="s">
        <v>165</v>
      </c>
      <c r="H19">
        <v>126</v>
      </c>
      <c r="I19" t="s">
        <v>364</v>
      </c>
    </row>
    <row r="20" spans="2:9">
      <c r="B20" s="13" t="s">
        <v>282</v>
      </c>
      <c r="C20" s="13" t="s">
        <v>65</v>
      </c>
      <c r="D20" s="13" t="s">
        <v>315</v>
      </c>
      <c r="E20" s="17">
        <v>46229</v>
      </c>
      <c r="F20" s="13" t="s">
        <v>313</v>
      </c>
      <c r="G20" s="13" t="s">
        <v>166</v>
      </c>
      <c r="H20">
        <v>0</v>
      </c>
      <c r="I20" t="s">
        <v>365</v>
      </c>
    </row>
    <row r="21" spans="2:9">
      <c r="B21" s="13" t="s">
        <v>285</v>
      </c>
      <c r="C21" s="13" t="s">
        <v>67</v>
      </c>
      <c r="D21" s="13" t="s">
        <v>312</v>
      </c>
      <c r="E21" s="17">
        <v>46243</v>
      </c>
      <c r="F21" s="13" t="s">
        <v>337</v>
      </c>
      <c r="G21" s="13" t="s">
        <v>165</v>
      </c>
      <c r="H21">
        <v>118</v>
      </c>
      <c r="I21" t="s">
        <v>366</v>
      </c>
    </row>
    <row r="22" spans="2:9">
      <c r="B22" s="13" t="s">
        <v>288</v>
      </c>
      <c r="C22" s="13" t="s">
        <v>69</v>
      </c>
      <c r="D22" s="13" t="s">
        <v>339</v>
      </c>
      <c r="E22" s="17">
        <v>46257</v>
      </c>
      <c r="F22" s="13" t="s">
        <v>313</v>
      </c>
      <c r="G22" s="13" t="s">
        <v>166</v>
      </c>
      <c r="H22">
        <v>0</v>
      </c>
      <c r="I22" t="s">
        <v>367</v>
      </c>
    </row>
    <row r="23" spans="2:9">
      <c r="B23" s="13" t="s">
        <v>291</v>
      </c>
      <c r="C23" s="13" t="s">
        <v>64</v>
      </c>
      <c r="D23" s="13" t="s">
        <v>312</v>
      </c>
      <c r="E23" s="17">
        <v>46271</v>
      </c>
      <c r="F23" s="13" t="s">
        <v>313</v>
      </c>
      <c r="G23" s="13" t="s">
        <v>165</v>
      </c>
      <c r="H23">
        <v>129</v>
      </c>
      <c r="I23" t="s">
        <v>368</v>
      </c>
    </row>
    <row r="24" spans="2:9">
      <c r="B24" s="13" t="s">
        <v>294</v>
      </c>
      <c r="C24" s="13" t="s">
        <v>72</v>
      </c>
      <c r="D24" s="13" t="s">
        <v>328</v>
      </c>
      <c r="E24" s="17">
        <v>46285</v>
      </c>
      <c r="F24" s="13" t="s">
        <v>313</v>
      </c>
      <c r="G24" s="13" t="s">
        <v>165</v>
      </c>
      <c r="H24">
        <v>111</v>
      </c>
      <c r="I24" t="s">
        <v>369</v>
      </c>
    </row>
    <row r="25" spans="2:9">
      <c r="B25" s="13" t="s">
        <v>297</v>
      </c>
      <c r="C25" s="13" t="s">
        <v>75</v>
      </c>
      <c r="D25" s="13" t="s">
        <v>315</v>
      </c>
      <c r="E25" s="17">
        <v>46299</v>
      </c>
      <c r="F25" s="13" t="s">
        <v>313</v>
      </c>
      <c r="G25" s="13" t="s">
        <v>166</v>
      </c>
      <c r="H25">
        <v>0</v>
      </c>
      <c r="I25" t="s">
        <v>370</v>
      </c>
    </row>
    <row r="27" spans="2:9">
      <c r="B27" s="9" t="s">
        <v>371</v>
      </c>
      <c r="C27" s="9">
        <f>COUNTA(B6:B25)</f>
        <v>20</v>
      </c>
    </row>
    <row r="28" spans="2:9">
      <c r="B28" s="9" t="s">
        <v>372</v>
      </c>
      <c r="C28" s="9">
        <f>COUNTIF(D6:D25,"School Collection Drive")+COUNTIF(D6:D25,"RWA/Community Drive")</f>
        <v>0</v>
      </c>
    </row>
    <row r="29" spans="2:9">
      <c r="B29" s="9" t="s">
        <v>373</v>
      </c>
      <c r="C29" s="9">
        <f>SUM(F6:F25)</f>
        <v>0</v>
      </c>
    </row>
  </sheetData>
  <mergeCells count="2">
    <mergeCell ref="A2:F2"/>
    <mergeCell ref="B3:G3"/>
  </mergeCells>
  <dataValidations count="1">
    <dataValidation type="list" allowBlank="1" sqref="D6:D25" xr:uid="{00000000-0002-0000-0800-000000000000}">
      <formula1>"Awareness Campaign,School Collection Drive,RWA/Community Drive,Industry Outreach,Media Campaign"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E45BCADE012848BADD84F0F5519C36" ma:contentTypeVersion="13" ma:contentTypeDescription="Create a new document." ma:contentTypeScope="" ma:versionID="749d6923f222eb45ac0dc6063575a178">
  <xsd:schema xmlns:xsd="http://www.w3.org/2001/XMLSchema" xmlns:xs="http://www.w3.org/2001/XMLSchema" xmlns:p="http://schemas.microsoft.com/office/2006/metadata/properties" xmlns:ns2="c49d017b-ac22-4c0b-a7a4-c8b9eca6cd70" xmlns:ns3="e0d206d7-ee7c-42da-b133-6e7342787b39" targetNamespace="http://schemas.microsoft.com/office/2006/metadata/properties" ma:root="true" ma:fieldsID="e99e7a50f06ef0e0bf1d9a36c1212498" ns2:_="" ns3:_="">
    <xsd:import namespace="c49d017b-ac22-4c0b-a7a4-c8b9eca6cd70"/>
    <xsd:import namespace="e0d206d7-ee7c-42da-b133-6e7342787b3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9d017b-ac22-4c0b-a7a4-c8b9eca6cd7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5c09e8c-4242-4efc-8aa0-958213fa9c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d206d7-ee7c-42da-b133-6e7342787b3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5d6c0a8-0dd6-40f9-b8c8-aca075772b73}" ma:internalName="TaxCatchAll" ma:showField="CatchAllData" ma:web="e0d206d7-ee7c-42da-b133-6e7342787b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9d017b-ac22-4c0b-a7a4-c8b9eca6cd70">
      <Terms xmlns="http://schemas.microsoft.com/office/infopath/2007/PartnerControls"/>
    </lcf76f155ced4ddcb4097134ff3c332f>
    <TaxCatchAll xmlns="e0d206d7-ee7c-42da-b133-6e7342787b39" xsi:nil="true"/>
    <ReferenceId xmlns="c49d017b-ac22-4c0b-a7a4-c8b9eca6cd7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D7AE7F-9C52-4451-A440-F009A47F4308}"/>
</file>

<file path=customXml/itemProps2.xml><?xml version="1.0" encoding="utf-8"?>
<ds:datastoreItem xmlns:ds="http://schemas.openxmlformats.org/officeDocument/2006/customXml" ds:itemID="{BD9D648A-6F12-4BF5-AF6A-829D10AD4630}"/>
</file>

<file path=customXml/itemProps3.xml><?xml version="1.0" encoding="utf-8"?>
<ds:datastoreItem xmlns:ds="http://schemas.openxmlformats.org/officeDocument/2006/customXml" ds:itemID="{2DDC4A04-34B5-4186-8F17-9B6944A9F8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Dakshata Mhatre</cp:lastModifiedBy>
  <cp:revision>0</cp:revision>
  <dcterms:created xsi:type="dcterms:W3CDTF">2026-07-16T04:20:02Z</dcterms:created>
  <dcterms:modified xsi:type="dcterms:W3CDTF">2026-07-23T14:01:16Z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0x01010029E45BCADE012848BADD84F0F5519C36</vt:lpwstr>
  </property>
  <property fmtid="{D5CDD505-2E9C-101B-9397-08002B2CF9AE}" pid="3" name="MediaServiceImageTags">
    <vt:lpwstr/>
  </property>
</Properties>
</file>